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04b7d4149347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5a8b5be8bf54558"/>
    <x:sheet xmlns:r="http://schemas.openxmlformats.org/officeDocument/2006/relationships" name="Gold_Standard" sheetId="2" r:id="R3adbafdf0eb241e5"/>
    <x:sheet xmlns:r="http://schemas.openxmlformats.org/officeDocument/2006/relationships" name="Quality_Check" sheetId="3" r:id="R945e2855c7894bbb"/>
    <x:sheet xmlns:r="http://schemas.openxmlformats.org/officeDocument/2006/relationships" name="Label_Distribution" sheetId="4" r:id="R2ea0c5e388144d07"/>
    <x:sheet xmlns:r="http://schemas.openxmlformats.org/officeDocument/2006/relationships" name="Agreement_Summary" sheetId="5" r:id="Rf24b980ec76349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9324D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9324D"/>
      </x:patternFill>
    </x:fill>
    <x:fill>
      <x:patternFill patternType="solid">
        <x:fgColor rgb="FFEAF2F8"/>
      </x:patternFill>
    </x:fill>
    <x:fill>
      <x:patternFill patternType="solid">
        <x:fgColor rgb="FF1D817E"/>
      </x:patternFill>
    </x:fill>
    <x:fill>
      <x:patternFill patternType="solid">
        <x:fgColor rgb="FFEAF6F2"/>
      </x:patternFill>
    </x:fill>
    <x:fill>
      <x:patternFill patternType="solid">
        <x:fgColor rgb="FF5C4B8A"/>
      </x:patternFill>
    </x:fill>
    <x:fill>
      <x:patternFill patternType="solid">
        <x:fgColor rgb="FFF1EEF8"/>
      </x:patternFill>
    </x:fill>
  </x:fills>
  <x:borders count="10">
    <x:border/>
    <x:border>
      <x:bottom style="thin">
        <x:color rgb="FFCDD9E3"/>
      </x:bottom>
    </x:border>
    <x:border>
      <x:top style="thin">
        <x:color rgb="FFCDD9E3"/>
      </x:top>
      <x:bottom style="thin">
        <x:color rgb="FFCDD9E3"/>
      </x:bottom>
    </x:border>
    <x:border>
      <x:top style="thin">
        <x:color rgb="FFCDD9E3"/>
      </x:top>
    </x:border>
    <x:border>
      <x:right style="thin">
        <x:color rgb="FFCDD9E3"/>
      </x:right>
    </x:border>
    <x:border>
      <x:left style="thin">
        <x:color rgb="FFCDD9E3"/>
      </x:left>
      <x:right style="thin">
        <x:color rgb="FFCDD9E3"/>
      </x:right>
    </x:border>
    <x:border>
      <x:left style="thin">
        <x:color rgb="FFCDD9E3"/>
      </x:left>
    </x:border>
    <x:border>
      <x:right style="thin">
        <x:color rgb="FFCDD9E3"/>
      </x:right>
      <x:bottom style="thin">
        <x:color rgb="FFCDD9E3"/>
      </x:bottom>
    </x:border>
    <x:border>
      <x:left style="thin">
        <x:color rgb="FFCDD9E3"/>
      </x:left>
      <x:right style="thin">
        <x:color rgb="FFCDD9E3"/>
      </x:right>
      <x:bottom style="thin">
        <x:color rgb="FFCDD9E3"/>
      </x:bottom>
    </x:border>
    <x:border>
      <x:left style="thin">
        <x:color rgb="FFCDD9E3"/>
      </x:left>
      <x:bottom style="thin">
        <x:color rgb="FFCDD9E3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4" xfId="0" applyNumberFormat="1" applyFont="1" applyFill="1" applyBorder="1"/>
    <x:xf numFmtId="0" fontId="3" fillId="6" borderId="5" xfId="0" applyNumberFormat="1" applyFont="1" applyFill="1" applyBorder="1"/>
    <x:xf numFmtId="0" fontId="3" fillId="6" borderId="6" xfId="0" applyNumberFormat="1" applyFont="1" applyFill="1" applyBorder="1"/>
    <x:xf numFmtId="0" fontId="3" fillId="6" borderId="4" xfId="0" applyNumberFormat="1" applyFont="1" applyFill="1" applyBorder="1" applyAlignment="1">
      <x:alignment wrapText="1"/>
    </x:xf>
    <x:xf numFmtId="0" fontId="3" fillId="6" borderId="5" xfId="0" applyNumberFormat="1" applyFont="1" applyFill="1" applyBorder="1" applyAlignment="1">
      <x:alignment wrapText="1"/>
    </x:xf>
    <x:xf numFmtId="0" fontId="3" fillId="6" borderId="6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vertical="center" wrapText="1"/>
    </x:xf>
    <x:xf numFmtId="0" fontId="3" fillId="6" borderId="5" xfId="0" applyNumberFormat="1" applyFont="1" applyFill="1" applyBorder="1" applyAlignment="1">
      <x:alignment vertical="center" wrapText="1"/>
    </x:xf>
    <x:xf numFmtId="0" fontId="3" fillId="6" borderId="6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c54aaf5f344664" /><Relationship Type="http://schemas.openxmlformats.org/officeDocument/2006/relationships/theme" Target="/xl/theme/theme1.xml" Id="Redb3ed8cae964274" /><Relationship Type="http://schemas.openxmlformats.org/officeDocument/2006/relationships/sharedStrings" Target="/xl/sharedStrings.xml" Id="R3a1747eada614b31" /><Relationship Type="http://schemas.openxmlformats.org/officeDocument/2006/relationships/worksheet" Target="/xl/worksheets/sheet1.xml" Id="R45a8b5be8bf54558" /><Relationship Type="http://schemas.openxmlformats.org/officeDocument/2006/relationships/worksheet" Target="/xl/worksheets/sheet2.xml" Id="R3adbafdf0eb241e5" /><Relationship Type="http://schemas.openxmlformats.org/officeDocument/2006/relationships/worksheet" Target="/xl/worksheets/sheet3.xml" Id="R945e2855c7894bbb" /><Relationship Type="http://schemas.openxmlformats.org/officeDocument/2006/relationships/worksheet" Target="/xl/worksheets/sheet4.xml" Id="R2ea0c5e388144d07" /><Relationship Type="http://schemas.openxmlformats.org/officeDocument/2006/relationships/worksheet" Target="/xl/worksheets/sheet5.xml" Id="Rf24b980ec76349fc" /></Relationships>
</file>

<file path=xl/tables/table1.xml><?xml version="1.0" encoding="utf-8"?>
<x:table xmlns:x="http://schemas.openxmlformats.org/spreadsheetml/2006/main" id="1" name="GoldStandardTable" displayName="GoldStandardTable" ref="A1:I101" headerRowCount="1" totalsRowCount="0" totalsRowShown="0">
  <x:tableColumns count="9">
    <x:tableColumn id="1" name="instruction_id"/>
    <x:tableColumn id="2" name="instruction_text"/>
    <x:tableColumn id="3" name="task_type"/>
    <x:tableColumn id="4" name="target_zone"/>
    <x:tableColumn id="5" name="priority"/>
    <x:tableColumn id="6" name="deadline_s_or_text"/>
    <x:tableColumn id="7" name="required_skill"/>
    <x:tableColumn id="8" name="needs_human_approval"/>
    <x:tableColumn id="9" name="expected_failu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4caedd7d4d4e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96" hidden="0" customWidth="1"/>
  </x:cols>
  <x:sheetData>
    <x:row r="1" ht="28" customHeight="1">
      <x:c r="A1" s="3" t="str">
        <x:v>SkyRescue HeldOut100 匿名化 Gold Standard v1.0.0</x:v>
      </x:c>
      <x:c r="B1" s="3"/>
    </x:row>
    <x:row r="3" ht="36" customHeight="1">
      <x:c r="A3" s="7" t="str">
        <x:v>数据规模</x:v>
      </x:c>
      <x:c r="B3" s="14" t="str">
        <x:v>100 条人工编写的低空应急指令，7 个最终结构化标签。</x:v>
      </x:c>
    </x:row>
    <x:row r="4" ht="36" customHeight="1">
      <x:c r="A4" s="7" t="str">
        <x:v>标注流程</x:v>
      </x:c>
      <x:c r="B4" s="15" t="str">
        <x:v>两位专家独立标注；18 个分歧单元由第三位专家裁决。</x:v>
      </x:c>
    </x:row>
    <x:row r="5" ht="36" customHeight="1">
      <x:c r="A5" s="7" t="str">
        <x:v>一致性</x:v>
      </x:c>
      <x:c r="B5" s="15" t="str">
        <x:v>682/700 个标签单元一致；微一致率 97.43%；宏平均 Cohen's kappa=0.9533。</x:v>
      </x:c>
    </x:row>
    <x:row r="6" ht="36" customHeight="1">
      <x:c r="A6" s="7" t="str">
        <x:v>匿名化</x:v>
      </x:c>
      <x:c r="B6" s="15" t="str">
        <x:v>公开数据表不包含专家代码、姓名、标注日期、置信度或过程备注。</x:v>
      </x:c>
    </x:row>
    <x:row r="7" ht="36" customHeight="1">
      <x:c r="A7" s="7" t="str">
        <x:v>标签用途</x:v>
      </x:c>
      <x:c r="B7" s="15" t="str">
        <x:v>仅用于模型响应保存完成后的离线揭盲评分，不得作为模型输入。</x:v>
      </x:c>
    </x:row>
    <x:row r="8" ht="36" customHeight="1">
      <x:c r="A8" s="7" t="str">
        <x:v>A/B 原始归档 SHA-256</x:v>
      </x:c>
      <x:c r="B8" s="15" t="str">
        <x:v>4f4dd2858ea4ce583cfb4589a0eeba73bff914d6838046e8f1d6db87e801b433</x:v>
      </x:c>
    </x:row>
    <x:row r="9" ht="36" customHeight="1">
      <x:c r="A9" s="7" t="str">
        <x:v>裁决工作簿 SHA-256</x:v>
      </x:c>
      <x:c r="B9" s="15" t="str">
        <x:v>f25e078c4444bc078c31d3fef1bfb119faaca02078c91e3de9c5f9fe809b6314</x:v>
      </x:c>
    </x:row>
    <x:row r="10" ht="36" customHeight="1">
      <x:c r="A10" s="7" t="str">
        <x:v>Gold JSONL SHA-256</x:v>
      </x:c>
      <x:c r="B10" s="16" t="str">
        <x:v>e1d4be93dcc0f26fc44e8c1982a8135cca8a6eb13cc7b54a072cacd71cba5043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4" hidden="0" customWidth="1"/>
    <x:col min="3" max="3" width="26" hidden="0" customWidth="1"/>
    <x:col min="4" max="4" width="32" hidden="0" customWidth="1"/>
    <x:col min="5" max="5" width="22" hidden="0" customWidth="1"/>
    <x:col min="6" max="6" width="22" hidden="0" customWidth="1"/>
    <x:col min="7" max="7" width="28" hidden="0" customWidth="1"/>
    <x:col min="8" max="8" width="26" hidden="0" customWidth="1"/>
    <x:col min="9" max="9" width="26" hidden="0" customWidth="1"/>
  </x:cols>
  <x:sheetData>
    <x:row r="1">
      <x:c r="A1" s="25" t="str">
        <x:v>instruction_id</x:v>
      </x:c>
      <x:c r="B1" s="26" t="str">
        <x:v>instruction_text</x:v>
      </x:c>
      <x:c r="C1" s="26" t="str">
        <x:v>task_type</x:v>
      </x:c>
      <x:c r="D1" s="26" t="str">
        <x:v>target_zone</x:v>
      </x:c>
      <x:c r="E1" s="26" t="str">
        <x:v>priority</x:v>
      </x:c>
      <x:c r="F1" s="26" t="str">
        <x:v>deadline_s_or_text</x:v>
      </x:c>
      <x:c r="G1" s="26" t="str">
        <x:v>required_skill</x:v>
      </x:c>
      <x:c r="H1" s="26" t="str">
        <x:v>needs_human_approval</x:v>
      </x:c>
      <x:c r="I1" s="27" t="str">
        <x:v>expected_failure</x:v>
      </x:c>
    </x:row>
    <x:row r="2" ht="38" customHeight="1">
      <x:c r="A2" s="28" t="str">
        <x:v>HLD-001</x:v>
      </x:c>
      <x:c r="B2" s="28" t="str">
        <x:v>派一架去东门上空悬停，锁定那两位行动不便的居民位置，给转移队实时指路；巷子里线多，保持高度别下去。</x:v>
      </x:c>
      <x:c r="C2" s="31" t="str">
        <x:v>EvacuationSupport</x:v>
      </x:c>
      <x:c r="D2" s="31" t="str">
        <x:v>东门上空</x:v>
      </x:c>
      <x:c r="E2" s="31" t="str">
        <x:v>Critical</x:v>
      </x:c>
      <x:c r="F2" s="31" t="str">
        <x:v>unspecified</x:v>
      </x:c>
      <x:c r="G2" s="31" t="str">
        <x:v>loudspeaker_guidance</x:v>
      </x:c>
      <x:c r="H2" s="31" t="str">
        <x:v>No</x:v>
      </x:c>
      <x:c r="I2" s="31" t="str">
        <x:v>None</x:v>
      </x:c>
    </x:row>
    <x:row r="3" ht="38" customHeight="1">
      <x:c r="A3" s="29" t="str">
        <x:v>HLD-002</x:v>
      </x:c>
      <x:c r="B3" s="29" t="str">
        <x:v>地下车库进不去人，先派机在入口上空盯着水位和人群，五分钟报一次；配电间断电了，别指望里面有照明。</x:v>
      </x:c>
      <x:c r="C3" s="32" t="str">
        <x:v>Other</x:v>
      </x:c>
      <x:c r="D3" s="32" t="str">
        <x:v>地下车库入口上空</x:v>
      </x:c>
      <x:c r="E3" s="32" t="str">
        <x:v>High</x:v>
      </x:c>
      <x:c r="F3" s="32" t="str">
        <x:v>urgent_unspecified</x:v>
      </x:c>
      <x:c r="G3" s="32" t="str">
        <x:v>unknown_or_other</x:v>
      </x:c>
      <x:c r="H3" s="32" t="str">
        <x:v>No</x:v>
      </x:c>
      <x:c r="I3" s="32" t="str">
        <x:v>None</x:v>
      </x:c>
    </x:row>
    <x:row r="4" ht="38" customHeight="1">
      <x:c r="A4" s="29" t="str">
        <x:v>HLD-003</x:v>
      </x:c>
      <x:c r="B4" s="29" t="str">
        <x:v>商业街那块广告牌，派一架绕着拍清楚固定点松没松，西侧封闭区上空快进快出，拍完立刻让出空域给地面吊车。</x:v>
      </x:c>
      <x:c r="C4" s="32" t="str">
        <x:v>InfrastructureInspection</x:v>
      </x:c>
      <x:c r="D4" s="32" t="str">
        <x:v>商业街那块广告牌</x:v>
      </x:c>
      <x:c r="E4" s="32" t="str">
        <x:v>High</x:v>
      </x:c>
      <x:c r="F4" s="32" t="str">
        <x:v>urgent_unspecified</x:v>
      </x:c>
      <x:c r="G4" s="32" t="str">
        <x:v>infrastructure_photo</x:v>
      </x:c>
      <x:c r="H4" s="32" t="str">
        <x:v>No</x:v>
      </x:c>
      <x:c r="I4" s="32" t="str">
        <x:v>None</x:v>
      </x:c>
    </x:row>
    <x:row r="5" ht="38" customHeight="1">
      <x:c r="A5" s="29" t="str">
        <x:v>HLD-004</x:v>
      </x:c>
      <x:c r="B5" s="29" t="str">
        <x:v>塌楼顶层有热源，热成像机马上上，绕楼三圈把热点位置钉死；周边线缆密，保持三十米以上，别贴楼飞。</x:v>
      </x:c>
      <x:c r="C5" s="32" t="str">
        <x:v>SearchAndRescue</x:v>
      </x:c>
      <x:c r="D5" s="32" t="str">
        <x:v>塌楼顶层</x:v>
      </x:c>
      <x:c r="E5" s="32" t="str">
        <x:v>Critical</x:v>
      </x:c>
      <x:c r="F5" s="32" t="str">
        <x:v>urgent_unspecified</x:v>
      </x:c>
      <x:c r="G5" s="32" t="str">
        <x:v>thermal_recon</x:v>
      </x:c>
      <x:c r="H5" s="32" t="str">
        <x:v>No</x:v>
      </x:c>
      <x:c r="I5" s="32" t="str">
        <x:v>None</x:v>
      </x:c>
    </x:row>
    <x:row r="6" ht="38" customHeight="1">
      <x:c r="A6" s="29" t="str">
        <x:v>HLD-005</x:v>
      </x:c>
      <x:c r="B6" s="29" t="str">
        <x:v>隧道北口积水，巡查车失联，先派机沿隧道口往里照，能进多深进多深，发现车辆立即回传位置，照明自己带。</x:v>
      </x:c>
      <x:c r="C6" s="32" t="str">
        <x:v>SearchAndRescue</x:v>
      </x:c>
      <x:c r="D6" s="32" t="str">
        <x:v>隧道北口</x:v>
      </x:c>
      <x:c r="E6" s="32" t="str">
        <x:v>Critical</x:v>
      </x:c>
      <x:c r="F6" s="32" t="str">
        <x:v>urgent_unspecified</x:v>
      </x:c>
      <x:c r="G6" s="32" t="str">
        <x:v>unknown_or_other</x:v>
      </x:c>
      <x:c r="H6" s="32" t="str">
        <x:v>No</x:v>
      </x:c>
      <x:c r="I6" s="32" t="str">
        <x:v>None</x:v>
      </x:c>
    </x:row>
    <x:row r="7" ht="38" customHeight="1">
      <x:c r="A7" s="29" t="str">
        <x:v>HLD-006</x:v>
      </x:c>
      <x:c r="B7" s="29" t="str">
        <x:v>体育场安置区入口，起一架长航时的挂高点持续回传人流，通信堵就切备用频道，画面不许断。</x:v>
      </x:c>
      <x:c r="C7" s="32" t="str">
        <x:v>TrafficMonitoring</x:v>
      </x:c>
      <x:c r="D7" s="32" t="str">
        <x:v>体育场安置区入口</x:v>
      </x:c>
      <x:c r="E7" s="32" t="str">
        <x:v>Normal</x:v>
      </x:c>
      <x:c r="F7" s="32" t="str">
        <x:v>unspecified</x:v>
      </x:c>
      <x:c r="G7" s="32" t="str">
        <x:v>traffic_monitoring</x:v>
      </x:c>
      <x:c r="H7" s="32" t="str">
        <x:v>No</x:v>
      </x:c>
      <x:c r="I7" s="32" t="str">
        <x:v>None</x:v>
      </x:c>
    </x:row>
    <x:row r="8" ht="38" customHeight="1">
      <x:c r="A8" s="29" t="str">
        <x:v>HLD-007</x:v>
      </x:c>
      <x:c r="B8" s="29" t="str">
        <x:v>河滨公园南段那两处光源，热成像机压低速度过一遍，确认是不是人；夜里水面风大，确认后坐标直接给冲锋舟。</x:v>
      </x:c>
      <x:c r="C8" s="32" t="str">
        <x:v>SearchAndRescue</x:v>
      </x:c>
      <x:c r="D8" s="32" t="str">
        <x:v>河滨公园南段那两处光源</x:v>
      </x:c>
      <x:c r="E8" s="32" t="str">
        <x:v>Critical</x:v>
      </x:c>
      <x:c r="F8" s="32" t="str">
        <x:v>unspecified</x:v>
      </x:c>
      <x:c r="G8" s="32" t="str">
        <x:v>thermal_recon</x:v>
      </x:c>
      <x:c r="H8" s="32" t="str">
        <x:v>No</x:v>
      </x:c>
      <x:c r="I8" s="32" t="str">
        <x:v>None</x:v>
      </x:c>
    </x:row>
    <x:row r="9" ht="38" customHeight="1">
      <x:c r="A9" s="29" t="str">
        <x:v>HLD-008</x:v>
      </x:c>
      <x:c r="B9" s="29" t="str">
        <x:v>东部社区充电点缺电池，从库房调一批用运输机送过去，走停电区上空直线，落点选社区广场，落前喊话清场。</x:v>
      </x:c>
      <x:c r="C9" s="32" t="str">
        <x:v>SupplyDelivery</x:v>
      </x:c>
      <x:c r="D9" s="32" t="str">
        <x:v>社区广场</x:v>
      </x:c>
      <x:c r="E9" s="32" t="str">
        <x:v>High</x:v>
      </x:c>
      <x:c r="F9" s="32" t="str">
        <x:v>unspecified</x:v>
      </x:c>
      <x:c r="G9" s="32" t="str">
        <x:v>supply_payload</x:v>
      </x:c>
      <x:c r="H9" s="32" t="str">
        <x:v>No</x:v>
      </x:c>
      <x:c r="I9" s="32" t="str">
        <x:v>None</x:v>
      </x:c>
    </x:row>
    <x:row r="10" ht="38" customHeight="1">
      <x:c r="A10" s="29" t="str">
        <x:v>HLD-009</x:v>
      </x:c>
      <x:c r="B10" s="29" t="str">
        <x:v>台风后那栋高层，先查西南立面，贴着物业给的范围一层层拍；其他立面顺带扫一眼，脱落风险点标出来就撤。</x:v>
      </x:c>
      <x:c r="C10" s="32" t="str">
        <x:v>InfrastructureInspection</x:v>
      </x:c>
      <x:c r="D10" s="32" t="str">
        <x:v>台风后那栋高层西南立面</x:v>
      </x:c>
      <x:c r="E10" s="32" t="str">
        <x:v>High</x:v>
      </x:c>
      <x:c r="F10" s="32" t="str">
        <x:v>unspecified</x:v>
      </x:c>
      <x:c r="G10" s="32" t="str">
        <x:v>infrastructure_photo</x:v>
      </x:c>
      <x:c r="H10" s="32" t="str">
        <x:v>No</x:v>
      </x:c>
      <x:c r="I10" s="32" t="str">
        <x:v>None</x:v>
      </x:c>
    </x:row>
    <x:row r="11" ht="38" customHeight="1">
      <x:c r="A11" s="29" t="str">
        <x:v>HLD-010</x:v>
      </x:c>
      <x:c r="B11" s="29" t="str">
        <x:v>中心广场两个出口，各压一架盯人流密度，两分钟一报；密度再涨就通知地面开第三出口，机子别飞人头顶太低。</x:v>
      </x:c>
      <x:c r="C11" s="32" t="str">
        <x:v>TrafficMonitoring</x:v>
      </x:c>
      <x:c r="D11" s="32" t="str">
        <x:v>中心广场两个出口</x:v>
      </x:c>
      <x:c r="E11" s="32" t="str">
        <x:v>High</x:v>
      </x:c>
      <x:c r="F11" s="32" t="str">
        <x:v>urgent_unspecified</x:v>
      </x:c>
      <x:c r="G11" s="32" t="str">
        <x:v>traffic_monitoring</x:v>
      </x:c>
      <x:c r="H11" s="32" t="str">
        <x:v>No</x:v>
      </x:c>
      <x:c r="I11" s="32" t="str">
        <x:v>None</x:v>
      </x:c>
    </x:row>
    <x:row r="12" ht="38" customHeight="1">
      <x:c r="A12" s="29" t="str">
        <x:v>HLD-011</x:v>
      </x:c>
      <x:c r="B12" s="29" t="str">
        <x:v>北坡滑坡区，热成像机沿旧矿道一线搜，重点矿道口和滑坡体下缘，见热源悬停报坐标，别降落。</x:v>
      </x:c>
      <x:c r="C12" s="32" t="str">
        <x:v>SearchAndRescue</x:v>
      </x:c>
      <x:c r="D12" s="32" t="str">
        <x:v>北坡滑坡区旧矿道</x:v>
      </x:c>
      <x:c r="E12" s="32" t="str">
        <x:v>Critical</x:v>
      </x:c>
      <x:c r="F12" s="32" t="str">
        <x:v>unspecified</x:v>
      </x:c>
      <x:c r="G12" s="32" t="str">
        <x:v>thermal_recon</x:v>
      </x:c>
      <x:c r="H12" s="32" t="str">
        <x:v>No</x:v>
      </x:c>
      <x:c r="I12" s="32" t="str">
        <x:v>None</x:v>
      </x:c>
    </x:row>
    <x:row r="13" ht="38" customHeight="1">
      <x:c r="A13" s="29" t="str">
        <x:v>HLD-012</x:v>
      </x:c>
      <x:c r="B13" s="29" t="str">
        <x:v>鹰嘴岭东侧山沟，以手机最后信号点为圆心先扫半径一公里，带喊话器边飞边喊，天黑前必须过完第一遍。</x:v>
      </x:c>
      <x:c r="C13" s="32" t="str">
        <x:v>SearchAndRescue</x:v>
      </x:c>
      <x:c r="D13" s="32" t="str">
        <x:v>鹰嘴岭东侧山沟</x:v>
      </x:c>
      <x:c r="E13" s="32" t="str">
        <x:v>Critical</x:v>
      </x:c>
      <x:c r="F13" s="32" t="str">
        <x:v>urgent_unspecified</x:v>
      </x:c>
      <x:c r="G13" s="32" t="str">
        <x:v>loudspeaker_guidance</x:v>
      </x:c>
      <x:c r="H13" s="32" t="str">
        <x:v>No</x:v>
      </x:c>
      <x:c r="I13" s="32" t="str">
        <x:v>None</x:v>
      </x:c>
    </x:row>
    <x:row r="14" ht="38" customHeight="1">
      <x:c r="A14" s="29" t="str">
        <x:v>HLD-013</x:v>
      </x:c>
      <x:c r="B14" s="29" t="str">
        <x:v>南坡那三户，云低就贴着安全高度下限飞，挨家看屋顶和院子有没有人活动，拍清楚就回，别在山谷里恋战。</x:v>
      </x:c>
      <x:c r="C14" s="32" t="str">
        <x:v>SearchAndRescue</x:v>
      </x:c>
      <x:c r="D14" s="32" t="str">
        <x:v>南坡那三户</x:v>
      </x:c>
      <x:c r="E14" s="32" t="str">
        <x:v>Critical</x:v>
      </x:c>
      <x:c r="F14" s="32" t="str">
        <x:v>unspecified</x:v>
      </x:c>
      <x:c r="G14" s="32" t="str">
        <x:v>unknown_or_other</x:v>
      </x:c>
      <x:c r="H14" s="32" t="str">
        <x:v>No</x:v>
      </x:c>
      <x:c r="I14" s="32" t="str">
        <x:v>None</x:v>
      </x:c>
    </x:row>
    <x:row r="15" ht="38" customHeight="1">
      <x:c r="A15" s="29" t="str">
        <x:v>HLD-014</x:v>
      </x:c>
      <x:c r="B15" s="29" t="str">
        <x:v>石门峰西北林线，两架带热成像的分东西两路推，雪地上重点找脚印和颜色异常；风雪再大就召回，人机都不能丢。</x:v>
      </x:c>
      <x:c r="C15" s="32" t="str">
        <x:v>SearchAndRescue</x:v>
      </x:c>
      <x:c r="D15" s="32" t="str">
        <x:v>石门峰西北林线</x:v>
      </x:c>
      <x:c r="E15" s="32" t="str">
        <x:v>Critical</x:v>
      </x:c>
      <x:c r="F15" s="32" t="str">
        <x:v>unspecified</x:v>
      </x:c>
      <x:c r="G15" s="32" t="str">
        <x:v>thermal_recon</x:v>
      </x:c>
      <x:c r="H15" s="32" t="str">
        <x:v>No</x:v>
      </x:c>
      <x:c r="I15" s="32" t="str">
        <x:v>None</x:v>
      </x:c>
    </x:row>
    <x:row r="16" ht="38" customHeight="1">
      <x:c r="A16" s="29" t="str">
        <x:v>HLD-015</x:v>
      </x:c>
      <x:c r="B16" s="29" t="str">
        <x:v>对岸山腰三个人，先派机过河确认状态，喊话告诉他们援兵在路上；顺带把便桥断点拍回来，工兵等着看。</x:v>
      </x:c>
      <x:c r="C16" s="32" t="str">
        <x:v>SearchAndRescue</x:v>
      </x:c>
      <x:c r="D16" s="32" t="str">
        <x:v>对岸山腰</x:v>
      </x:c>
      <x:c r="E16" s="32" t="str">
        <x:v>Critical</x:v>
      </x:c>
      <x:c r="F16" s="32" t="str">
        <x:v>unspecified</x:v>
      </x:c>
      <x:c r="G16" s="32" t="str">
        <x:v>loudspeaker_guidance</x:v>
      </x:c>
      <x:c r="H16" s="32" t="str">
        <x:v>No</x:v>
      </x:c>
      <x:c r="I16" s="32" t="str">
        <x:v>None</x:v>
      </x:c>
    </x:row>
    <x:row r="17" ht="38" customHeight="1">
      <x:c r="A17" s="29" t="str">
        <x:v>HLD-016</x:v>
      </x:c>
      <x:c r="B17" s="29" t="str">
        <x:v>峡谷入口那串足迹，派机顺着往上游岔谷追，低速贴着走，每五百米回传一次画面，追丢了就报，别瞎猜。</x:v>
      </x:c>
      <x:c r="C17" s="32" t="str">
        <x:v>SearchAndRescue</x:v>
      </x:c>
      <x:c r="D17" s="32" t="str">
        <x:v>上游岔谷</x:v>
      </x:c>
      <x:c r="E17" s="32" t="str">
        <x:v>Critical</x:v>
      </x:c>
      <x:c r="F17" s="32" t="str">
        <x:v>unspecified</x:v>
      </x:c>
      <x:c r="G17" s="32" t="str">
        <x:v>unknown_or_other</x:v>
      </x:c>
      <x:c r="H17" s="32" t="str">
        <x:v>No</x:v>
      </x:c>
      <x:c r="I17" s="32" t="str">
        <x:v>None</x:v>
      </x:c>
    </x:row>
    <x:row r="18" ht="38" customHeight="1">
      <x:c r="A18" s="29" t="str">
        <x:v>HLD-017</x:v>
      </x:c>
      <x:c r="B18" s="29" t="str">
        <x:v>洞口和二号竖井口各压一架守着，竖井口重点听动静看灯光；再派一架沿计划路线上方来回巡，有信号立刻报。</x:v>
      </x:c>
      <x:c r="C18" s="32" t="str">
        <x:v>SearchAndRescue</x:v>
      </x:c>
      <x:c r="D18" s="32" t="str">
        <x:v>洞口和二号竖井口</x:v>
      </x:c>
      <x:c r="E18" s="32" t="str">
        <x:v>Critical</x:v>
      </x:c>
      <x:c r="F18" s="32" t="str">
        <x:v>urgent_unspecified</x:v>
      </x:c>
      <x:c r="G18" s="32" t="str">
        <x:v>unknown_or_other</x:v>
      </x:c>
      <x:c r="H18" s="32" t="str">
        <x:v>No</x:v>
      </x:c>
      <x:c r="I18" s="32" t="str">
        <x:v>None</x:v>
      </x:c>
    </x:row>
    <x:row r="19" ht="38" customHeight="1">
      <x:c r="A19" s="29" t="str">
        <x:v>HLD-018</x:v>
      </x:c>
      <x:c r="B19" s="29" t="str">
        <x:v>林场工棚，派机直飞过去看烟囱和门窗有没有动静，顺带把两条小路的倒木位置拍全，给清障队排顺序用。</x:v>
      </x:c>
      <x:c r="C19" s="32" t="str">
        <x:v>SearchAndRescue</x:v>
      </x:c>
      <x:c r="D19" s="32" t="str">
        <x:v>林场工棚</x:v>
      </x:c>
      <x:c r="E19" s="32" t="str">
        <x:v>Critical</x:v>
      </x:c>
      <x:c r="F19" s="32" t="str">
        <x:v>unspecified</x:v>
      </x:c>
      <x:c r="G19" s="32" t="str">
        <x:v>infrastructure_photo</x:v>
      </x:c>
      <x:c r="H19" s="32" t="str">
        <x:v>No</x:v>
      </x:c>
      <x:c r="I19" s="32" t="str">
        <x:v>None</x:v>
      </x:c>
    </x:row>
    <x:row r="20" ht="38" customHeight="1">
      <x:c r="A20" s="29" t="str">
        <x:v>HLD-019</x:v>
      </x:c>
      <x:c r="B20" s="29" t="str">
        <x:v>黑石沟南端，信标断点为中心网格式搜，沟壑多就拉高用变焦，别钻沟；发现科考队装备痕迹先标点再细看。</x:v>
      </x:c>
      <x:c r="C20" s="32" t="str">
        <x:v>SearchAndRescue</x:v>
      </x:c>
      <x:c r="D20" s="32" t="str">
        <x:v>黑石沟南端</x:v>
      </x:c>
      <x:c r="E20" s="32" t="str">
        <x:v>Critical</x:v>
      </x:c>
      <x:c r="F20" s="32" t="str">
        <x:v>unspecified</x:v>
      </x:c>
      <x:c r="G20" s="32" t="str">
        <x:v>unknown_or_other</x:v>
      </x:c>
      <x:c r="H20" s="32" t="str">
        <x:v>No</x:v>
      </x:c>
      <x:c r="I20" s="32" t="str">
        <x:v>None</x:v>
      </x:c>
    </x:row>
    <x:row r="21" ht="38" customHeight="1">
      <x:c r="A21" s="29" t="str">
        <x:v>HLD-020</x:v>
      </x:c>
      <x:c r="B21" s="29" t="str">
        <x:v>云台岭北麓最后打卡点，机子从那儿顺赛道正反各推一遍，重点岔路口和陡坡下方，夜视开着，找到人先照住别动。</x:v>
      </x:c>
      <x:c r="C21" s="32" t="str">
        <x:v>SearchAndRescue</x:v>
      </x:c>
      <x:c r="D21" s="32" t="str">
        <x:v>云台岭北麓最后打卡点</x:v>
      </x:c>
      <x:c r="E21" s="32" t="str">
        <x:v>Critical</x:v>
      </x:c>
      <x:c r="F21" s="32" t="str">
        <x:v>unspecified</x:v>
      </x:c>
      <x:c r="G21" s="32" t="str">
        <x:v>unknown_or_other</x:v>
      </x:c>
      <x:c r="H21" s="32" t="str">
        <x:v>No</x:v>
      </x:c>
      <x:c r="I21" s="32" t="str">
        <x:v>None</x:v>
      </x:c>
    </x:row>
    <x:row r="22" ht="38" customHeight="1">
      <x:c r="A22" s="29" t="str">
        <x:v>HLD-021</x:v>
      </x:c>
      <x:c r="B22" s="29" t="str">
        <x:v>草原南部两条烟带，派机把走向和间断点拍清楚，风向在转，顺带测下风速回传；山脊挡住的死角全给我补上。</x:v>
      </x:c>
      <x:c r="C22" s="32" t="str">
        <x:v>FireRecon</x:v>
      </x:c>
      <x:c r="D22" s="32" t="str">
        <x:v>草原南部两条烟带</x:v>
      </x:c>
      <x:c r="E22" s="32" t="str">
        <x:v>High</x:v>
      </x:c>
      <x:c r="F22" s="32" t="str">
        <x:v>unspecified</x:v>
      </x:c>
      <x:c r="G22" s="32" t="str">
        <x:v>mapping</x:v>
      </x:c>
      <x:c r="H22" s="32" t="str">
        <x:v>No</x:v>
      </x:c>
      <x:c r="I22" s="32" t="str">
        <x:v>None</x:v>
      </x:c>
    </x:row>
    <x:row r="23" ht="38" customHeight="1">
      <x:c r="A23" s="29" t="str">
        <x:v>HLD-022</x:v>
      </x:c>
      <x:c r="B23" s="29" t="str">
        <x:v>松林北缘复燃点，马上派机核实明火范围，重点量火头到输电走廊的距离；过五百米红线立刻报我，电力那边等信儿。</x:v>
      </x:c>
      <x:c r="C23" s="32" t="str">
        <x:v>FireRecon</x:v>
      </x:c>
      <x:c r="D23" s="32" t="str">
        <x:v>松林北缘复燃点</x:v>
      </x:c>
      <x:c r="E23" s="32" t="str">
        <x:v>Critical</x:v>
      </x:c>
      <x:c r="F23" s="32" t="str">
        <x:v>urgent_unspecified</x:v>
      </x:c>
      <x:c r="G23" s="32" t="str">
        <x:v>mapping</x:v>
      </x:c>
      <x:c r="H23" s="32" t="str">
        <x:v>No</x:v>
      </x:c>
      <x:c r="I23" s="32" t="str">
        <x:v>None</x:v>
      </x:c>
    </x:row>
    <x:row r="24" ht="38" customHeight="1">
      <x:c r="A24" s="29" t="str">
        <x:v>HLD-023</x:v>
      </x:c>
      <x:c r="B24" s="29" t="str">
        <x:v>东南沟谷那股白烟，派一架进去辨真假，热成像一照便知；是复燃就标坐标拉警报，是雾气就销案，十分钟给结论。</x:v>
      </x:c>
      <x:c r="C24" s="32" t="str">
        <x:v>FireRecon</x:v>
      </x:c>
      <x:c r="D24" s="32" t="str">
        <x:v>东南沟谷那股白烟</x:v>
      </x:c>
      <x:c r="E24" s="32" t="str">
        <x:v>High</x:v>
      </x:c>
      <x:c r="F24" s="32" t="str">
        <x:v>urgent_unspecified</x:v>
      </x:c>
      <x:c r="G24" s="32" t="str">
        <x:v>thermal_recon</x:v>
      </x:c>
      <x:c r="H24" s="32" t="str">
        <x:v>No</x:v>
      </x:c>
      <x:c r="I24" s="32" t="str">
        <x:v>None</x:v>
      </x:c>
    </x:row>
    <x:row r="25" ht="38" customHeight="1">
      <x:c r="A25" s="29" t="str">
        <x:v>HLD-024</x:v>
      </x:c>
      <x:c r="B25" s="29" t="str">
        <x:v>果园火线中段，机子重点盯蓄水池和工具房那一片，火头离建筑多远随时报；另外两段每十五分钟扫一轮。</x:v>
      </x:c>
      <x:c r="C25" s="32" t="str">
        <x:v>FireRecon</x:v>
      </x:c>
      <x:c r="D25" s="32" t="str">
        <x:v>果园火线中段</x:v>
      </x:c>
      <x:c r="E25" s="32" t="str">
        <x:v>High</x:v>
      </x:c>
      <x:c r="F25" s="32" t="str">
        <x:v>urgent_unspecified</x:v>
      </x:c>
      <x:c r="G25" s="32" t="str">
        <x:v>mapping</x:v>
      </x:c>
      <x:c r="H25" s="32" t="str">
        <x:v>No</x:v>
      </x:c>
      <x:c r="I25" s="32" t="str">
        <x:v>None</x:v>
      </x:c>
    </x:row>
    <x:row r="26" ht="38" customHeight="1">
      <x:c r="A26" s="29" t="str">
        <x:v>HLD-025</x:v>
      </x:c>
      <x:c r="B26" s="29" t="str">
        <x:v>东侧隔离带，派机沿线飞一遍，断口和树冠搭桥的点全标出来；烟柱下压能见度差，拉开高度用热成像补。</x:v>
      </x:c>
      <x:c r="C26" s="32" t="str">
        <x:v>FireRecon</x:v>
      </x:c>
      <x:c r="D26" s="32" t="str">
        <x:v>东侧隔离带</x:v>
      </x:c>
      <x:c r="E26" s="32" t="str">
        <x:v>High</x:v>
      </x:c>
      <x:c r="F26" s="32" t="str">
        <x:v>unspecified</x:v>
      </x:c>
      <x:c r="G26" s="32" t="str">
        <x:v>mapping</x:v>
      </x:c>
      <x:c r="H26" s="32" t="str">
        <x:v>No</x:v>
      </x:c>
      <x:c r="I26" s="32" t="str">
        <x:v>None</x:v>
      </x:c>
    </x:row>
    <x:row r="27" ht="38" customHeight="1">
      <x:c r="A27" s="29" t="str">
        <x:v>HLD-026</x:v>
      </x:c>
      <x:c r="B27" s="29" t="str">
        <x:v>营地北门滞留车辆，派机上去数清楚还有几台、堵在哪儿，喊话催他们往南出口走；草火边界每十分钟报一次。</x:v>
      </x:c>
      <x:c r="C27" s="32" t="str">
        <x:v>EvacuationSupport</x:v>
      </x:c>
      <x:c r="D27" s="32" t="str">
        <x:v>营地北门</x:v>
      </x:c>
      <x:c r="E27" s="32" t="str">
        <x:v>Critical</x:v>
      </x:c>
      <x:c r="F27" s="32" t="str">
        <x:v>urgent_unspecified</x:v>
      </x:c>
      <x:c r="G27" s="32" t="str">
        <x:v>loudspeaker_guidance</x:v>
      </x:c>
      <x:c r="H27" s="32" t="str">
        <x:v>No</x:v>
      </x:c>
      <x:c r="I27" s="32" t="str">
        <x:v>None</x:v>
      </x:c>
    </x:row>
    <x:row r="28" ht="38" customHeight="1">
      <x:c r="A28" s="29" t="str">
        <x:v>HLD-027</x:v>
      </x:c>
      <x:c r="B28" s="29" t="str">
        <x:v>火头往东移，下风向是通信机房，派机盯住火线到机房的距离，每五分钟一报；低于一公里我要第一时间知道。</x:v>
      </x:c>
      <x:c r="C28" s="32" t="str">
        <x:v>FireRecon</x:v>
      </x:c>
      <x:c r="D28" s="32" t="str">
        <x:v>通信机房下风向</x:v>
      </x:c>
      <x:c r="E28" s="32" t="str">
        <x:v>Critical</x:v>
      </x:c>
      <x:c r="F28" s="32" t="str">
        <x:v>urgent_unspecified</x:v>
      </x:c>
      <x:c r="G28" s="32" t="str">
        <x:v>mapping</x:v>
      </x:c>
      <x:c r="H28" s="32" t="str">
        <x:v>No</x:v>
      </x:c>
      <x:c r="I28" s="32" t="str">
        <x:v>None</x:v>
      </x:c>
    </x:row>
    <x:row r="29" ht="38" customHeight="1">
      <x:c r="A29" s="29" t="str">
        <x:v>HLD-028</x:v>
      </x:c>
      <x:c r="B29" s="29" t="str">
        <x:v>西坡热区，热成像机网格扫一遍，热点和未燃林带的交界线画出来；可能复燃的暗火点一个不落，全标坐标。</x:v>
      </x:c>
      <x:c r="C29" s="32" t="str">
        <x:v>FireRecon</x:v>
      </x:c>
      <x:c r="D29" s="32" t="str">
        <x:v>西坡热区</x:v>
      </x:c>
      <x:c r="E29" s="32" t="str">
        <x:v>High</x:v>
      </x:c>
      <x:c r="F29" s="32" t="str">
        <x:v>unspecified</x:v>
      </x:c>
      <x:c r="G29" s="32" t="str">
        <x:v>thermal_recon</x:v>
      </x:c>
      <x:c r="H29" s="32" t="str">
        <x:v>No</x:v>
      </x:c>
      <x:c r="I29" s="32" t="str">
        <x:v>None</x:v>
      </x:c>
    </x:row>
    <x:row r="30" ht="38" customHeight="1">
      <x:c r="A30" s="29" t="str">
        <x:v>HLD-029</x:v>
      </x:c>
      <x:c r="B30" s="29" t="str">
        <x:v>芦苇区暗火，车进不去就全靠机子：热成像定位火点，逐个标给地面泵组；候鸟区上空绕着走，别惊了鸟群。</x:v>
      </x:c>
      <x:c r="C30" s="32" t="str">
        <x:v>FireRecon</x:v>
      </x:c>
      <x:c r="D30" s="32" t="str">
        <x:v>芦苇区暗火</x:v>
      </x:c>
      <x:c r="E30" s="32" t="str">
        <x:v>High</x:v>
      </x:c>
      <x:c r="F30" s="32" t="str">
        <x:v>unspecified</x:v>
      </x:c>
      <x:c r="G30" s="32" t="str">
        <x:v>thermal_recon</x:v>
      </x:c>
      <x:c r="H30" s="32" t="str">
        <x:v>No</x:v>
      </x:c>
      <x:c r="I30" s="32" t="str">
        <x:v>None</x:v>
      </x:c>
    </x:row>
    <x:row r="31" ht="38" customHeight="1">
      <x:c r="A31" s="29" t="str">
        <x:v>HLD-030</x:v>
      </x:c>
      <x:c r="B31" s="29" t="str">
        <x:v>仓库到山脚那片烟雾区，派机穿雾看火点还有没有抬头的迹象；热成像为主，画面直接回传仓储园值班室。</x:v>
      </x:c>
      <x:c r="C31" s="32" t="str">
        <x:v>FireRecon</x:v>
      </x:c>
      <x:c r="D31" s="32" t="str">
        <x:v>仓库到山脚那片烟雾区</x:v>
      </x:c>
      <x:c r="E31" s="32" t="str">
        <x:v>High</x:v>
      </x:c>
      <x:c r="F31" s="32" t="str">
        <x:v>unspecified</x:v>
      </x:c>
      <x:c r="G31" s="32" t="str">
        <x:v>thermal_recon</x:v>
      </x:c>
      <x:c r="H31" s="32" t="str">
        <x:v>No</x:v>
      </x:c>
      <x:c r="I31" s="32" t="str">
        <x:v>None</x:v>
      </x:c>
    </x:row>
    <x:row r="32" ht="38" customHeight="1">
      <x:c r="A32" s="29" t="str">
        <x:v>HLD-031</x:v>
      </x:c>
      <x:c r="B32" s="29" t="str">
        <x:v>离岛停航了，药走空运：破伤风制剂装保温箱直飞卫生室，落点用他们操场；起飞前跟卫生室对好接收人。</x:v>
      </x:c>
      <x:c r="C32" s="32" t="str">
        <x:v>MedicalDelivery</x:v>
      </x:c>
      <x:c r="D32" s="32" t="str">
        <x:v>卫生室操场</x:v>
      </x:c>
      <x:c r="E32" s="32" t="str">
        <x:v>High</x:v>
      </x:c>
      <x:c r="F32" s="32" t="str">
        <x:v>unspecified</x:v>
      </x:c>
      <x:c r="G32" s="32" t="str">
        <x:v>medical_payload</x:v>
      </x:c>
      <x:c r="H32" s="32" t="str">
        <x:v>No</x:v>
      </x:c>
      <x:c r="I32" s="32" t="str">
        <x:v>None</x:v>
      </x:c>
    </x:row>
    <x:row r="33" ht="38" customHeight="1">
      <x:c r="A33" s="29" t="str">
        <x:v>HLD-032</x:v>
      </x:c>
      <x:c r="B33" s="29" t="str">
        <x:v>血液这单最高优先：恒温箱装好直飞山区医疗点，绕开塌方段上空的作业区；全程盯温度，落地当面交接签字。</x:v>
      </x:c>
      <x:c r="C33" s="32" t="str">
        <x:v>MedicalDelivery</x:v>
      </x:c>
      <x:c r="D33" s="32" t="str">
        <x:v>山区医疗点</x:v>
      </x:c>
      <x:c r="E33" s="32" t="str">
        <x:v>Critical</x:v>
      </x:c>
      <x:c r="F33" s="32" t="str">
        <x:v>urgent_unspecified</x:v>
      </x:c>
      <x:c r="G33" s="32" t="str">
        <x:v>medical_payload</x:v>
      </x:c>
      <x:c r="H33" s="32" t="str">
        <x:v>No</x:v>
      </x:c>
      <x:c r="I33" s="32" t="str">
        <x:v>None</x:v>
      </x:c>
    </x:row>
    <x:row r="34" ht="38" customHeight="1">
      <x:c r="A34" s="29" t="str">
        <x:v>HLD-033</x:v>
      </x:c>
      <x:c r="B34" s="29" t="str">
        <x:v>检测试剂马上送安置点，小件快机走直线，二十分钟内要到；落点选医务帐篷边上的空地，落前喊话让医生来接。</x:v>
      </x:c>
      <x:c r="C34" s="32" t="str">
        <x:v>MedicalDelivery</x:v>
      </x:c>
      <x:c r="D34" s="32" t="str">
        <x:v>医务帐篷边上的空地</x:v>
      </x:c>
      <x:c r="E34" s="32" t="str">
        <x:v>Critical</x:v>
      </x:c>
      <x:c r="F34" s="32" t="str">
        <x:v>urgent_unspecified</x:v>
      </x:c>
      <x:c r="G34" s="32" t="str">
        <x:v>medical_payload</x:v>
      </x:c>
      <x:c r="H34" s="32" t="str">
        <x:v>No</x:v>
      </x:c>
      <x:c r="I34" s="32" t="str">
        <x:v>None</x:v>
      </x:c>
    </x:row>
    <x:row r="35" ht="38" customHeight="1">
      <x:c r="A35" s="29" t="str">
        <x:v>HLD-034</x:v>
      </x:c>
      <x:c r="B35" s="29" t="str">
        <x:v>血浆和夹板打包，直飞河谷工地，落点找急救组的红布标记；峡谷风大，压低速度进，东西摔不得。</x:v>
      </x:c>
      <x:c r="C35" s="32" t="str">
        <x:v>MedicalDelivery</x:v>
      </x:c>
      <x:c r="D35" s="32" t="str">
        <x:v>河谷工地</x:v>
      </x:c>
      <x:c r="E35" s="32" t="str">
        <x:v>Critical</x:v>
      </x:c>
      <x:c r="F35" s="32" t="str">
        <x:v>unspecified</x:v>
      </x:c>
      <x:c r="G35" s="32" t="str">
        <x:v>medical_payload</x:v>
      </x:c>
      <x:c r="H35" s="32" t="str">
        <x:v>No</x:v>
      </x:c>
      <x:c r="I35" s="32" t="str">
        <x:v>None</x:v>
      </x:c>
    </x:row>
    <x:row r="36" ht="38" customHeight="1">
      <x:c r="A36" s="29" t="str">
        <x:v>HLD-035</x:v>
      </x:c>
      <x:c r="B36" s="29" t="str">
        <x:v>发电机燃料按小桶拆装，两架轮着送乡镇卫生院，先保疫苗冷藏；第一架十分钟内起飞，落点用院子晒场。</x:v>
      </x:c>
      <x:c r="C36" s="32" t="str">
        <x:v>SupplyDelivery</x:v>
      </x:c>
      <x:c r="D36" s="32" t="str">
        <x:v>乡镇卫生院院子晒场</x:v>
      </x:c>
      <x:c r="E36" s="32" t="str">
        <x:v>High</x:v>
      </x:c>
      <x:c r="F36" s="32" t="str">
        <x:v>urgent_unspecified</x:v>
      </x:c>
      <x:c r="G36" s="32" t="str">
        <x:v>supply_payload</x:v>
      </x:c>
      <x:c r="H36" s="32" t="str">
        <x:v>No</x:v>
      </x:c>
      <x:c r="I36" s="32" t="str">
        <x:v>None</x:v>
      </x:c>
    </x:row>
    <x:row r="37" ht="38" customHeight="1">
      <x:c r="A37" s="29" t="str">
        <x:v>HLD-036</x:v>
      </x:c>
      <x:c r="B37" s="29" t="str">
        <x:v>氧气瓶直送高原哨所，重量卡着载荷上限来，宁可分两趟；高原风大，沿山脊背风面进，落点哨所旗杆旁空地。</x:v>
      </x:c>
      <x:c r="C37" s="32" t="str">
        <x:v>MedicalDelivery</x:v>
      </x:c>
      <x:c r="D37" s="32" t="str">
        <x:v>高原哨所旗杆旁空地</x:v>
      </x:c>
      <x:c r="E37" s="32" t="str">
        <x:v>Critical</x:v>
      </x:c>
      <x:c r="F37" s="32" t="str">
        <x:v>unspecified</x:v>
      </x:c>
      <x:c r="G37" s="32" t="str">
        <x:v>medical_payload</x:v>
      </x:c>
      <x:c r="H37" s="32" t="str">
        <x:v>No</x:v>
      </x:c>
      <x:c r="I37" s="32" t="str">
        <x:v>None</x:v>
      </x:c>
    </x:row>
    <x:row r="38" ht="38" customHeight="1">
      <x:c r="A38" s="29" t="str">
        <x:v>HLD-037</x:v>
      </x:c>
      <x:c r="B38" s="29" t="str">
        <x:v>无菌缝合包一套，快机直飞手术点，比地面车快就干；落点跟现场护士长确认，包装加防震，落地别摔。</x:v>
      </x:c>
      <x:c r="C38" s="32" t="str">
        <x:v>MedicalDelivery</x:v>
      </x:c>
      <x:c r="D38" s="32" t="str">
        <x:v>手术点</x:v>
      </x:c>
      <x:c r="E38" s="32" t="str">
        <x:v>High</x:v>
      </x:c>
      <x:c r="F38" s="32" t="str">
        <x:v>unspecified</x:v>
      </x:c>
      <x:c r="G38" s="32" t="str">
        <x:v>medical_payload</x:v>
      </x:c>
      <x:c r="H38" s="32" t="str">
        <x:v>No</x:v>
      </x:c>
      <x:c r="I38" s="32" t="str">
        <x:v>None</x:v>
      </x:c>
    </x:row>
    <x:row r="39" ht="38" customHeight="1">
      <x:c r="A39" s="29" t="str">
        <x:v>HLD-038</x:v>
      </x:c>
      <x:c r="B39" s="29" t="str">
        <x:v>肾上腺素装防水舱直飞那条作业船，船在动就悬停用绞盘吊下去；跟船老大对好频道，让甲板清个落点出来。</x:v>
      </x:c>
      <x:c r="C39" s="32" t="str">
        <x:v>MedicalDelivery</x:v>
      </x:c>
      <x:c r="D39" s="32" t="str">
        <x:v>那条作业船</x:v>
      </x:c>
      <x:c r="E39" s="32" t="str">
        <x:v>Critical</x:v>
      </x:c>
      <x:c r="F39" s="32" t="str">
        <x:v>unspecified</x:v>
      </x:c>
      <x:c r="G39" s="32" t="str">
        <x:v>medical_payload</x:v>
      </x:c>
      <x:c r="H39" s="32" t="str">
        <x:v>No</x:v>
      </x:c>
      <x:c r="I39" s="32" t="str">
        <x:v>None</x:v>
      </x:c>
    </x:row>
    <x:row r="40" ht="38" customHeight="1">
      <x:c r="A40" s="29" t="str">
        <x:v>HLD-039</x:v>
      </x:c>
      <x:c r="B40" s="29" t="str">
        <x:v>胰岛素冷链箱直飞养老院，楼顶平台能落就落楼顶，不能落就吊送；出发前和院里核对用量，一次带够两天的。</x:v>
      </x:c>
      <x:c r="C40" s="32" t="str">
        <x:v>MedicalDelivery</x:v>
      </x:c>
      <x:c r="D40" s="32" t="str">
        <x:v>养老院楼顶平台</x:v>
      </x:c>
      <x:c r="E40" s="32" t="str">
        <x:v>High</x:v>
      </x:c>
      <x:c r="F40" s="32" t="str">
        <x:v>unspecified</x:v>
      </x:c>
      <x:c r="G40" s="32" t="str">
        <x:v>medical_payload</x:v>
      </x:c>
      <x:c r="H40" s="32" t="str">
        <x:v>No</x:v>
      </x:c>
      <x:c r="I40" s="32" t="str">
        <x:v>None</x:v>
      </x:c>
    </x:row>
    <x:row r="41" ht="38" customHeight="1">
      <x:c r="A41" s="29" t="str">
        <x:v>HLD-040</x:v>
      </x:c>
      <x:c r="B41" s="29" t="str">
        <x:v>备用除颤器从城北急救中心直调医务站，专机专送，航线避开活动区人群上空；落地即交，全程二十分钟内办完。</x:v>
      </x:c>
      <x:c r="C41" s="32" t="str">
        <x:v>MedicalDelivery</x:v>
      </x:c>
      <x:c r="D41" s="32" t="str">
        <x:v>医务站</x:v>
      </x:c>
      <x:c r="E41" s="32" t="str">
        <x:v>High</x:v>
      </x:c>
      <x:c r="F41" s="32" t="str">
        <x:v>urgent_unspecified</x:v>
      </x:c>
      <x:c r="G41" s="32" t="str">
        <x:v>medical_payload</x:v>
      </x:c>
      <x:c r="H41" s="32" t="str">
        <x:v>No</x:v>
      </x:c>
      <x:c r="I41" s="32" t="str">
        <x:v>None</x:v>
      </x:c>
    </x:row>
    <x:row r="42" ht="38" customHeight="1">
      <x:c r="A42" s="29" t="str">
        <x:v>HLD-041</x:v>
      </x:c>
      <x:c r="B42" s="29" t="str">
        <x:v>山腰指挥点上空起一架中继机，先把基站方向的链路搭起来；电不够就两架轮换，信号不能再断第二回。</x:v>
      </x:c>
      <x:c r="C42" s="32" t="str">
        <x:v>CommunicationRelay</x:v>
      </x:c>
      <x:c r="D42" s="32" t="str">
        <x:v>山腰指挥点上空</x:v>
      </x:c>
      <x:c r="E42" s="32" t="str">
        <x:v>High</x:v>
      </x:c>
      <x:c r="F42" s="32" t="str">
        <x:v>unspecified</x:v>
      </x:c>
      <x:c r="G42" s="32" t="str">
        <x:v>communication_relay</x:v>
      </x:c>
      <x:c r="H42" s="32" t="str">
        <x:v>No</x:v>
      </x:c>
      <x:c r="I42" s="32" t="str">
        <x:v>None</x:v>
      </x:c>
    </x:row>
    <x:row r="43" ht="38" customHeight="1">
      <x:c r="A43" s="29" t="str">
        <x:v>HLD-042</x:v>
      </x:c>
      <x:c r="B43" s="29" t="str">
        <x:v>峡谷两边的分区，中继机悬停在峡谷正上方偏北位置，避开高压线走廊；语音通了先测一轮，两边都清楚了再撤人。</x:v>
      </x:c>
      <x:c r="C43" s="32" t="str">
        <x:v>CommunicationRelay</x:v>
      </x:c>
      <x:c r="D43" s="32" t="str">
        <x:v>峡谷正上方偏北位置</x:v>
      </x:c>
      <x:c r="E43" s="32" t="str">
        <x:v>High</x:v>
      </x:c>
      <x:c r="F43" s="32" t="str">
        <x:v>unspecified</x:v>
      </x:c>
      <x:c r="G43" s="32" t="str">
        <x:v>communication_relay</x:v>
      </x:c>
      <x:c r="H43" s="32" t="str">
        <x:v>No</x:v>
      </x:c>
      <x:c r="I43" s="32" t="str">
        <x:v>None</x:v>
      </x:c>
    </x:row>
    <x:row r="44" ht="38" customHeight="1">
      <x:c r="A44" s="29" t="str">
        <x:v>HLD-043</x:v>
      </x:c>
      <x:c r="B44" s="29" t="str">
        <x:v>西港上空架临时中继，优先保调度车到码头队伍这条链路；台风尾流还在，机子抗风不够就换大的，别硬扛。</x:v>
      </x:c>
      <x:c r="C44" s="32" t="str">
        <x:v>CommunicationRelay</x:v>
      </x:c>
      <x:c r="D44" s="32" t="str">
        <x:v>西港上空</x:v>
      </x:c>
      <x:c r="E44" s="32" t="str">
        <x:v>High</x:v>
      </x:c>
      <x:c r="F44" s="32" t="str">
        <x:v>urgent_unspecified</x:v>
      </x:c>
      <x:c r="G44" s="32" t="str">
        <x:v>communication_relay</x:v>
      </x:c>
      <x:c r="H44" s="32" t="str">
        <x:v>No</x:v>
      </x:c>
      <x:c r="I44" s="32" t="str">
        <x:v>None</x:v>
      </x:c>
    </x:row>
    <x:row r="45" ht="38" customHeight="1">
      <x:c r="A45" s="29" t="str">
        <x:v>HLD-044</x:v>
      </x:c>
      <x:c r="B45" s="29" t="str">
        <x:v>管廊维修组那边，中继机压在出入口正上方，天线朝井口打；金属结构多，信号不行就换频段再试，通了报我。</x:v>
      </x:c>
      <x:c r="C45" s="32" t="str">
        <x:v>CommunicationRelay</x:v>
      </x:c>
      <x:c r="D45" s="32" t="str">
        <x:v>管廊出入口正上方</x:v>
      </x:c>
      <x:c r="E45" s="32" t="str">
        <x:v>High</x:v>
      </x:c>
      <x:c r="F45" s="32" t="str">
        <x:v>unspecified</x:v>
      </x:c>
      <x:c r="G45" s="32" t="str">
        <x:v>communication_relay</x:v>
      </x:c>
      <x:c r="H45" s="32" t="str">
        <x:v>No</x:v>
      </x:c>
      <x:c r="I45" s="32" t="str">
        <x:v>None</x:v>
      </x:c>
    </x:row>
    <x:row r="46" ht="38" customHeight="1">
      <x:c r="A46" s="29" t="str">
        <x:v>HLD-045</x:v>
      </x:c>
      <x:c r="B46" s="29" t="str">
        <x:v>指挥所新址和东线队伍之间那个盲区，派中继机悬停补上；位置先按地图中点放，信号不满格就挪，挪到满为止。</x:v>
      </x:c>
      <x:c r="C46" s="32" t="str">
        <x:v>CommunicationRelay</x:v>
      </x:c>
      <x:c r="D46" s="32" t="str">
        <x:v>指挥所新址和东线队伍之间那个盲区</x:v>
      </x:c>
      <x:c r="E46" s="32" t="str">
        <x:v>High</x:v>
      </x:c>
      <x:c r="F46" s="32" t="str">
        <x:v>unspecified</x:v>
      </x:c>
      <x:c r="G46" s="32" t="str">
        <x:v>communication_relay</x:v>
      </x:c>
      <x:c r="H46" s="32" t="str">
        <x:v>No</x:v>
      </x:c>
      <x:c r="I46" s="32" t="str">
        <x:v>None</x:v>
      </x:c>
    </x:row>
    <x:row r="47" ht="38" customHeight="1">
      <x:c r="A47" s="29" t="str">
        <x:v>HLD-046</x:v>
      </x:c>
      <x:c r="B47" s="29" t="str">
        <x:v>泄洪期间巡堤画面不能断：中继机沿河道上空找制高点悬停，两侧山体挡就抬高度；巡堤组画面一断马上告我。</x:v>
      </x:c>
      <x:c r="C47" s="32" t="str">
        <x:v>CommunicationRelay</x:v>
      </x:c>
      <x:c r="D47" s="32" t="str">
        <x:v>河道上空制高点</x:v>
      </x:c>
      <x:c r="E47" s="32" t="str">
        <x:v>High</x:v>
      </x:c>
      <x:c r="F47" s="32" t="str">
        <x:v>urgent_unspecified</x:v>
      </x:c>
      <x:c r="G47" s="32" t="str">
        <x:v>communication_relay</x:v>
      </x:c>
      <x:c r="H47" s="32" t="str">
        <x:v>No</x:v>
      </x:c>
      <x:c r="I47" s="32" t="str">
        <x:v>None</x:v>
      </x:c>
    </x:row>
    <x:row r="48" ht="38" customHeight="1">
      <x:c r="A48" s="29" t="str">
        <x:v>HLD-047</x:v>
      </x:c>
      <x:c r="B48" s="29" t="str">
        <x:v>医疗队新营地，中继机架起来先保图像传输这条链路，带宽优先给检查图像；传完一批确认一批，别堆着。</x:v>
      </x:c>
      <x:c r="C48" s="32" t="str">
        <x:v>CommunicationRelay</x:v>
      </x:c>
      <x:c r="D48" s="32" t="str">
        <x:v>医疗队新营地</x:v>
      </x:c>
      <x:c r="E48" s="32" t="str">
        <x:v>High</x:v>
      </x:c>
      <x:c r="F48" s="32" t="str">
        <x:v>urgent_unspecified</x:v>
      </x:c>
      <x:c r="G48" s="32" t="str">
        <x:v>communication_relay</x:v>
      </x:c>
      <x:c r="H48" s="32" t="str">
        <x:v>No</x:v>
      </x:c>
      <x:c r="I48" s="32" t="str">
        <x:v>None</x:v>
      </x:c>
    </x:row>
    <x:row r="49" ht="38" customHeight="1">
      <x:c r="A49" s="29" t="str">
        <x:v>HLD-048</x:v>
      </x:c>
      <x:c r="B49" s="29" t="str">
        <x:v>停运区间两处通风井，各派一架在井口上空守着做接力，巡查队一露头就把数据吸上来转发；电量算好轮换。</x:v>
      </x:c>
      <x:c r="C49" s="32" t="str">
        <x:v>CommunicationRelay</x:v>
      </x:c>
      <x:c r="D49" s="32" t="str">
        <x:v>停运区间两处通风井</x:v>
      </x:c>
      <x:c r="E49" s="32" t="str">
        <x:v>High</x:v>
      </x:c>
      <x:c r="F49" s="32" t="str">
        <x:v>unspecified</x:v>
      </x:c>
      <x:c r="G49" s="32" t="str">
        <x:v>communication_relay</x:v>
      </x:c>
      <x:c r="H49" s="32" t="str">
        <x:v>No</x:v>
      </x:c>
      <x:c r="I49" s="32" t="str">
        <x:v>None</x:v>
      </x:c>
    </x:row>
    <x:row r="50" ht="38" customHeight="1">
      <x:c r="A50" s="29" t="str">
        <x:v>HLD-049</x:v>
      </x:c>
      <x:c r="B50" s="29" t="str">
        <x:v>学校安置点，中继机上去先把公网链路顶上，卫星电话省着用；顺带给学校那台电话捎两块电池过去。</x:v>
      </x:c>
      <x:c r="C50" s="32" t="str">
        <x:v>CommunicationRelay</x:v>
      </x:c>
      <x:c r="D50" s="32" t="str">
        <x:v>学校安置点</x:v>
      </x:c>
      <x:c r="E50" s="32" t="str">
        <x:v>High</x:v>
      </x:c>
      <x:c r="F50" s="32" t="str">
        <x:v>unspecified</x:v>
      </x:c>
      <x:c r="G50" s="32" t="str">
        <x:v>communication_relay</x:v>
      </x:c>
      <x:c r="H50" s="32" t="str">
        <x:v>No</x:v>
      </x:c>
      <x:c r="I50" s="32" t="str">
        <x:v>None</x:v>
      </x:c>
    </x:row>
    <x:row r="51" ht="38" customHeight="1">
      <x:c r="A51" s="29" t="str">
        <x:v>HLD-050</x:v>
      </x:c>
      <x:c r="B51" s="29" t="str">
        <x:v>中继机到桥中段上空悬停，天线朝检修平台打；高度抬起来避开水面反射，通了报我。</x:v>
      </x:c>
      <x:c r="C51" s="32" t="str">
        <x:v>CommunicationRelay</x:v>
      </x:c>
      <x:c r="D51" s="32" t="str">
        <x:v>桥中段上空</x:v>
      </x:c>
      <x:c r="E51" s="32" t="str">
        <x:v>High</x:v>
      </x:c>
      <x:c r="F51" s="32" t="str">
        <x:v>unspecified</x:v>
      </x:c>
      <x:c r="G51" s="32" t="str">
        <x:v>communication_relay</x:v>
      </x:c>
      <x:c r="H51" s="32" t="str">
        <x:v>No</x:v>
      </x:c>
      <x:c r="I51" s="32" t="str">
        <x:v>None</x:v>
      </x:c>
    </x:row>
    <x:row r="52" ht="38" customHeight="1">
      <x:c r="A52" s="29" t="str">
        <x:v>HLD-051</x:v>
      </x:c>
      <x:c r="B52" s="29" t="str">
        <x:v>大桥中段底下还没影像呢，派一架从桥墩根儿往上仰拍，梁底、支座挨个儿过；风口上稳着点儿飞，拍全喽赶紧传给管养那边。</x:v>
      </x:c>
      <x:c r="C52" s="32" t="str">
        <x:v>InfrastructureInspection</x:v>
      </x:c>
      <x:c r="D52" s="32" t="str">
        <x:v>大桥中段梁底和支座</x:v>
      </x:c>
      <x:c r="E52" s="32" t="str">
        <x:v>High</x:v>
      </x:c>
      <x:c r="F52" s="32" t="str">
        <x:v>urgent_unspecified</x:v>
      </x:c>
      <x:c r="G52" s="32" t="str">
        <x:v>infrastructure_photo</x:v>
      </x:c>
      <x:c r="H52" s="32" t="str">
        <x:v>No</x:v>
      </x:c>
      <x:c r="I52" s="32" t="str">
        <x:v>None</x:v>
      </x:c>
    </x:row>
    <x:row r="53" ht="38" customHeight="1">
      <x:c r="A53" s="29" t="str">
        <x:v>HLD-052</x:v>
      </x:c>
      <x:c r="B53" s="29" t="str">
        <x:v>七号到十一号塔之间，机子沿线遛一遍，导线、绝缘子、塔身挨个儿瞅；瞅见闪络烧痕就定点多拍几张，别漏喽。</x:v>
      </x:c>
      <x:c r="C53" s="32" t="str">
        <x:v>InfrastructureInspection</x:v>
      </x:c>
      <x:c r="D53" s="32" t="str">
        <x:v>七号到十一号塔之间</x:v>
      </x:c>
      <x:c r="E53" s="32" t="str">
        <x:v>High</x:v>
      </x:c>
      <x:c r="F53" s="32" t="str">
        <x:v>unspecified</x:v>
      </x:c>
      <x:c r="G53" s="32" t="str">
        <x:v>infrastructure_photo</x:v>
      </x:c>
      <x:c r="H53" s="32" t="str">
        <x:v>No</x:v>
      </x:c>
      <x:c r="I53" s="32" t="str">
        <x:v>None</x:v>
      </x:c>
    </x:row>
    <x:row r="54" ht="38" customHeight="1">
      <x:c r="A54" s="29" t="str">
        <x:v>HLD-053</x:v>
      </x:c>
      <x:c r="B54" s="29" t="str">
        <x:v>坝面那道新渗水印儿，派机贴着下游坝面扫一遍，把渗水范围和走向框出来；风见长，机子拿稳喽，别贴太近。</x:v>
      </x:c>
      <x:c r="C54" s="32" t="str">
        <x:v>InfrastructureInspection</x:v>
      </x:c>
      <x:c r="D54" s="32" t="str">
        <x:v>下游坝面</x:v>
      </x:c>
      <x:c r="E54" s="32" t="str">
        <x:v>High</x:v>
      </x:c>
      <x:c r="F54" s="32" t="str">
        <x:v>unspecified</x:v>
      </x:c>
      <x:c r="G54" s="32" t="str">
        <x:v>infrastructure_photo</x:v>
      </x:c>
      <x:c r="H54" s="32" t="str">
        <x:v>No</x:v>
      </x:c>
      <x:c r="I54" s="32" t="str">
        <x:v>None</x:v>
      </x:c>
    </x:row>
    <x:row r="55" ht="38" customHeight="1">
      <x:c r="A55" s="29" t="str">
        <x:v>HLD-054</x:v>
      </x:c>
      <x:c r="B55" s="29" t="str">
        <x:v>北段那个弯头，热成像机直接过去，温度场拍清楚，附近管段顺带扫一截；数据直接回传园区值班，人先甭靠近。</x:v>
      </x:c>
      <x:c r="C55" s="32" t="str">
        <x:v>InfrastructureInspection</x:v>
      </x:c>
      <x:c r="D55" s="32" t="str">
        <x:v>北段那个弯头</x:v>
      </x:c>
      <x:c r="E55" s="32" t="str">
        <x:v>High</x:v>
      </x:c>
      <x:c r="F55" s="32" t="str">
        <x:v>unspecified</x:v>
      </x:c>
      <x:c r="G55" s="32" t="str">
        <x:v>thermal_recon</x:v>
      </x:c>
      <x:c r="H55" s="32" t="str">
        <x:v>No</x:v>
      </x:c>
      <x:c r="I55" s="32" t="str">
        <x:v>None</x:v>
      </x:c>
    </x:row>
    <x:row r="56" ht="38" customHeight="1">
      <x:c r="A56" s="29" t="str">
        <x:v>HLD-055</x:v>
      </x:c>
      <x:c r="B56" s="29" t="str">
        <x:v>楼里人都撤干净了，机子上去把屋顶钢架和东立面细细过一遍，变形、裂缝、掉渣儿的地方全标出来；甭往楼窟窿里钻。</x:v>
      </x:c>
      <x:c r="C56" s="32" t="str">
        <x:v>InfrastructureInspection</x:v>
      </x:c>
      <x:c r="D56" s="32" t="str">
        <x:v>屋顶钢架和东立面</x:v>
      </x:c>
      <x:c r="E56" s="32" t="str">
        <x:v>Normal</x:v>
      </x:c>
      <x:c r="F56" s="32" t="str">
        <x:v>unspecified</x:v>
      </x:c>
      <x:c r="G56" s="32" t="str">
        <x:v>infrastructure_photo</x:v>
      </x:c>
      <x:c r="H56" s="32" t="str">
        <x:v>No</x:v>
      </x:c>
      <x:c r="I56" s="32" t="str">
        <x:v>None</x:v>
      </x:c>
    </x:row>
    <x:row r="57" ht="38" customHeight="1">
      <x:c r="A57" s="29" t="str">
        <x:v>HLD-056</x:v>
      </x:c>
      <x:c r="B57" s="29" t="str">
        <x:v>俩阀室之间那段管线，机子低速沿线飞，红外常规各来一遍；瞅见地皮发黄或有喷溅痕迹的点，立马标坐标报我。</x:v>
      </x:c>
      <x:c r="C57" s="32" t="str">
        <x:v>HazmatMonitoring</x:v>
      </x:c>
      <x:c r="D57" s="32" t="str">
        <x:v>俩阀室之间那段管线</x:v>
      </x:c>
      <x:c r="E57" s="32" t="str">
        <x:v>High</x:v>
      </x:c>
      <x:c r="F57" s="32" t="str">
        <x:v>urgent_unspecified</x:v>
      </x:c>
      <x:c r="G57" s="32" t="str">
        <x:v>thermal_recon</x:v>
      </x:c>
      <x:c r="H57" s="32" t="str">
        <x:v>No</x:v>
      </x:c>
      <x:c r="I57" s="32" t="str">
        <x:v>None</x:v>
      </x:c>
    </x:row>
    <x:row r="58" ht="38" customHeight="1">
      <x:c r="A58" s="29" t="str">
        <x:v>HLD-057</x:v>
      </x:c>
      <x:c r="B58" s="29" t="str">
        <x:v>索道趴窝了就空运：机子带块备用电池上山顶台站，顺带把台站外观拍一圈；落点选院里空地，落前跟值守的招呼一声。</x:v>
      </x:c>
      <x:c r="C58" s="32" t="str">
        <x:v>SupplyDelivery</x:v>
      </x:c>
      <x:c r="D58" s="32" t="str">
        <x:v>山顶台站院里空地</x:v>
      </x:c>
      <x:c r="E58" s="32" t="str">
        <x:v>High</x:v>
      </x:c>
      <x:c r="F58" s="32" t="str">
        <x:v>unspecified</x:v>
      </x:c>
      <x:c r="G58" s="32" t="str">
        <x:v>supply_payload</x:v>
      </x:c>
      <x:c r="H58" s="32" t="str">
        <x:v>No</x:v>
      </x:c>
      <x:c r="I58" s="32" t="str">
        <x:v>None</x:v>
      </x:c>
    </x:row>
    <x:row r="59" ht="38" customHeight="1">
      <x:c r="A59" s="29" t="str">
        <x:v>HLD-058</x:v>
      </x:c>
      <x:c r="B59" s="29" t="str">
        <x:v>先把那条裂缝的走向全程拍下来，看看离乡道最近多少米；要是奔着路去的，马上报我，我好知会交管封路。</x:v>
      </x:c>
      <x:c r="C59" s="32" t="str">
        <x:v>InfrastructureInspection</x:v>
      </x:c>
      <x:c r="D59" s="32" t="str">
        <x:v>那条裂缝</x:v>
      </x:c>
      <x:c r="E59" s="32" t="str">
        <x:v>High</x:v>
      </x:c>
      <x:c r="F59" s="32" t="str">
        <x:v>urgent_unspecified</x:v>
      </x:c>
      <x:c r="G59" s="32" t="str">
        <x:v>infrastructure_photo</x:v>
      </x:c>
      <x:c r="H59" s="32" t="str">
        <x:v>No</x:v>
      </x:c>
      <x:c r="I59" s="32" t="str">
        <x:v>None</x:v>
      </x:c>
    </x:row>
    <x:row r="60" ht="38" customHeight="1">
      <x:c r="A60" s="29" t="str">
        <x:v>HLD-059</x:v>
      </x:c>
      <x:c r="B60" s="29" t="str">
        <x:v>那台岸桥，机子绕着把驾驶室和大梁外观过细了拍，螺栓、焊缝、变形都得看真着；港区风还没停利索，保持距离。</x:v>
      </x:c>
      <x:c r="C60" s="32" t="str">
        <x:v>InfrastructureInspection</x:v>
      </x:c>
      <x:c r="D60" s="32" t="str">
        <x:v>那台岸桥</x:v>
      </x:c>
      <x:c r="E60" s="32" t="str">
        <x:v>Normal</x:v>
      </x:c>
      <x:c r="F60" s="32" t="str">
        <x:v>unspecified</x:v>
      </x:c>
      <x:c r="G60" s="32" t="str">
        <x:v>infrastructure_photo</x:v>
      </x:c>
      <x:c r="H60" s="32" t="str">
        <x:v>No</x:v>
      </x:c>
      <x:c r="I60" s="32" t="str">
        <x:v>None</x:v>
      </x:c>
    </x:row>
    <x:row r="61" ht="38" customHeight="1">
      <x:c r="A61" s="29" t="str">
        <x:v>HLD-060</x:v>
      </x:c>
      <x:c r="B61" s="29" t="str">
        <x:v>报警点那片坡，机子上去可劲儿拍，绿植厚就换热成像加变焦；有滑塌迹象立刻报，铁路那边等着定限速呢。</x:v>
      </x:c>
      <x:c r="C61" s="32" t="str">
        <x:v>InfrastructureInspection</x:v>
      </x:c>
      <x:c r="D61" s="32" t="str">
        <x:v>报警点那片坡</x:v>
      </x:c>
      <x:c r="E61" s="32" t="str">
        <x:v>High</x:v>
      </x:c>
      <x:c r="F61" s="32" t="str">
        <x:v>urgent_unspecified</x:v>
      </x:c>
      <x:c r="G61" s="32" t="str">
        <x:v>infrastructure_photo</x:v>
      </x:c>
      <x:c r="H61" s="32" t="str">
        <x:v>No</x:v>
      </x:c>
      <x:c r="I61" s="32" t="str">
        <x:v>None</x:v>
      </x:c>
    </x:row>
    <x:row r="62" ht="38" customHeight="1">
      <x:c r="A62" s="29" t="str">
        <x:v>HLD-061</x:v>
      </x:c>
      <x:c r="B62" s="29" t="str">
        <x:v>俩传感器数儿对不上，别猜了，派带检测载荷的机子在东侧上空走个之字，把浓度分布测出来；下风向多飞两条线。</x:v>
      </x:c>
      <x:c r="C62" s="32" t="str">
        <x:v>HazmatMonitoring</x:v>
      </x:c>
      <x:c r="D62" s="32" t="str">
        <x:v>东侧上空</x:v>
      </x:c>
      <x:c r="E62" s="32" t="str">
        <x:v>High</x:v>
      </x:c>
      <x:c r="F62" s="32" t="str">
        <x:v>unspecified</x:v>
      </x:c>
      <x:c r="G62" s="32" t="str">
        <x:v>hazmat_monitoring</x:v>
      </x:c>
      <x:c r="H62" s="32" t="str">
        <x:v>No</x:v>
      </x:c>
      <x:c r="I62" s="32" t="str">
        <x:v>None</x:v>
      </x:c>
    </x:row>
    <x:row r="63" ht="38" customHeight="1">
      <x:c r="A63" s="29" t="str">
        <x:v>HLD-062</x:v>
      </x:c>
      <x:c r="B63" s="29" t="str">
        <x:v>油膜头儿离取水口还剩多远，机子马上去量，顺流每五百米标一个点；水厂就等这数儿决定关不关闸呢，麻利儿的。</x:v>
      </x:c>
      <x:c r="C63" s="32" t="str">
        <x:v>HazmatMonitoring</x:v>
      </x:c>
      <x:c r="D63" s="32" t="str">
        <x:v>取水口</x:v>
      </x:c>
      <x:c r="E63" s="32" t="str">
        <x:v>High</x:v>
      </x:c>
      <x:c r="F63" s="32" t="str">
        <x:v>urgent_unspecified</x:v>
      </x:c>
      <x:c r="G63" s="32" t="str">
        <x:v>hazmat_monitoring</x:v>
      </x:c>
      <x:c r="H63" s="32" t="str">
        <x:v>No</x:v>
      </x:c>
      <x:c r="I63" s="32" t="str">
        <x:v>None</x:v>
      </x:c>
    </x:row>
    <x:row r="64" ht="38" customHeight="1">
      <x:c r="A64" s="29" t="str">
        <x:v>HLD-063</x:v>
      </x:c>
      <x:c r="B64" s="29" t="str">
        <x:v>泄漏点正上空别过，机子绕外围转，把泄漏范围和往北仓库那边的扩散边儿标出来；风一变向立马跟我言语。</x:v>
      </x:c>
      <x:c r="C64" s="32" t="str">
        <x:v>HazmatMonitoring</x:v>
      </x:c>
      <x:c r="D64" s="32" t="str">
        <x:v>北仓库方向外围</x:v>
      </x:c>
      <x:c r="E64" s="32" t="str">
        <x:v>Critical</x:v>
      </x:c>
      <x:c r="F64" s="32" t="str">
        <x:v>urgent_unspecified</x:v>
      </x:c>
      <x:c r="G64" s="32" t="str">
        <x:v>hazmat_monitoring</x:v>
      </x:c>
      <x:c r="H64" s="32" t="str">
        <x:v>No</x:v>
      </x:c>
      <x:c r="I64" s="32" t="str">
        <x:v>None</x:v>
      </x:c>
    </x:row>
    <x:row r="65" ht="38" customHeight="1">
      <x:c r="A65" s="29" t="str">
        <x:v>HLD-064</x:v>
      </x:c>
      <x:c r="B65" s="29" t="str">
        <x:v>南门封了就从上头看：热成像机绕厂房一圈，屋顶、窗口的温度分布拍全喽，火点在哪个跨间得给我说出个数儿来。</x:v>
      </x:c>
      <x:c r="C65" s="32" t="str">
        <x:v>FireRecon</x:v>
      </x:c>
      <x:c r="D65" s="32" t="str">
        <x:v>厂房屋顶和窗口</x:v>
      </x:c>
      <x:c r="E65" s="32" t="str">
        <x:v>Critical</x:v>
      </x:c>
      <x:c r="F65" s="32" t="str">
        <x:v>unspecified</x:v>
      </x:c>
      <x:c r="G65" s="32" t="str">
        <x:v>thermal_recon</x:v>
      </x:c>
      <x:c r="H65" s="32" t="str">
        <x:v>No</x:v>
      </x:c>
      <x:c r="I65" s="32" t="str">
        <x:v>None</x:v>
      </x:c>
    </x:row>
    <x:row r="66" ht="38" customHeight="1">
      <x:c r="A66" s="29" t="str">
        <x:v>HLD-065</x:v>
      </x:c>
      <x:c r="B66" s="29" t="str">
        <x:v>人都撤西边儿了，机子过去把消毒间那片儿的门窗、管线外观拍一遍，再用热成像瞅瞅有没有异常；拍完直接传应急组。</x:v>
      </x:c>
      <x:c r="C66" s="32" t="str">
        <x:v>HazmatMonitoring</x:v>
      </x:c>
      <x:c r="D66" s="32" t="str">
        <x:v>消毒间</x:v>
      </x:c>
      <x:c r="E66" s="32" t="str">
        <x:v>High</x:v>
      </x:c>
      <x:c r="F66" s="32" t="str">
        <x:v>unspecified</x:v>
      </x:c>
      <x:c r="G66" s="32" t="str">
        <x:v>thermal_recon</x:v>
      </x:c>
      <x:c r="H66" s="32" t="str">
        <x:v>No</x:v>
      </x:c>
      <x:c r="I66" s="32" t="str">
        <x:v>None</x:v>
      </x:c>
    </x:row>
    <x:row r="67" ht="38" customHeight="1">
      <x:c r="A67" s="29" t="str">
        <x:v>HLD-066</x:v>
      </x:c>
      <x:c r="B67" s="29" t="str">
        <x:v>监控让蒸汽糊住了，机子换个角度从上风向进，把罐顶安全阀那块儿拍清楚；离罐远着点儿，快进快出别磨蹭。</x:v>
      </x:c>
      <x:c r="C67" s="32" t="str">
        <x:v>InfrastructureInspection</x:v>
      </x:c>
      <x:c r="D67" s="32" t="str">
        <x:v>罐顶安全阀</x:v>
      </x:c>
      <x:c r="E67" s="32" t="str">
        <x:v>Critical</x:v>
      </x:c>
      <x:c r="F67" s="32" t="str">
        <x:v>urgent_unspecified</x:v>
      </x:c>
      <x:c r="G67" s="32" t="str">
        <x:v>infrastructure_photo</x:v>
      </x:c>
      <x:c r="H67" s="32" t="str">
        <x:v>No</x:v>
      </x:c>
      <x:c r="I67" s="32" t="str">
        <x:v>None</x:v>
      </x:c>
    </x:row>
    <x:row r="68" ht="38" customHeight="1">
      <x:c r="A68" s="29" t="str">
        <x:v>HLD-067</x:v>
      </x:c>
      <x:c r="B68" s="29" t="str">
        <x:v>沿着近岸把水色异常那片儿飞个来回，分界线在哪儿标清楚，不同高度多拍几张；样本点坐标整理好给环保那边。</x:v>
      </x:c>
      <x:c r="C68" s="32" t="str">
        <x:v>HazmatMonitoring</x:v>
      </x:c>
      <x:c r="D68" s="32" t="str">
        <x:v>近岸水色异常区</x:v>
      </x:c>
      <x:c r="E68" s="32" t="str">
        <x:v>Normal</x:v>
      </x:c>
      <x:c r="F68" s="32" t="str">
        <x:v>unspecified</x:v>
      </x:c>
      <x:c r="G68" s="32" t="str">
        <x:v>mapping</x:v>
      </x:c>
      <x:c r="H68" s="32" t="str">
        <x:v>No</x:v>
      </x:c>
      <x:c r="I68" s="32" t="str">
        <x:v>None</x:v>
      </x:c>
    </x:row>
    <x:row r="69" ht="38" customHeight="1">
      <x:c r="A69" s="29" t="str">
        <x:v>HLD-068</x:v>
      </x:c>
      <x:c r="B69" s="29" t="str">
        <x:v>那根排风口，机子从下风向斜上方瞅，排放颜色、烟羽方向拍下来；街区停工没人，可以压低点儿，但别正对着风口。</x:v>
      </x:c>
      <x:c r="C69" s="32" t="str">
        <x:v>HazmatMonitoring</x:v>
      </x:c>
      <x:c r="D69" s="32" t="str">
        <x:v>那根排风口</x:v>
      </x:c>
      <x:c r="E69" s="32" t="str">
        <x:v>Normal</x:v>
      </x:c>
      <x:c r="F69" s="32" t="str">
        <x:v>unspecified</x:v>
      </x:c>
      <x:c r="G69" s="32" t="str">
        <x:v>hazmat_monitoring</x:v>
      </x:c>
      <x:c r="H69" s="32" t="str">
        <x:v>No</x:v>
      </x:c>
      <x:c r="I69" s="32" t="str">
        <x:v>None</x:v>
      </x:c>
    </x:row>
    <x:row r="70" ht="38" customHeight="1">
      <x:c r="A70" s="29" t="str">
        <x:v>HLD-069</x:v>
      </x:c>
      <x:c r="B70" s="29" t="str">
        <x:v>北侧那团雾，先拿热成像和变焦远远瞅，判断是不是制冷剂漏了；机子在上风向呆着，甭往雾里扎。</x:v>
      </x:c>
      <x:c r="C70" s="32" t="str">
        <x:v>HazmatMonitoring</x:v>
      </x:c>
      <x:c r="D70" s="32" t="str">
        <x:v>北侧那团雾</x:v>
      </x:c>
      <x:c r="E70" s="32" t="str">
        <x:v>High</x:v>
      </x:c>
      <x:c r="F70" s="32" t="str">
        <x:v>unspecified</x:v>
      </x:c>
      <x:c r="G70" s="32" t="str">
        <x:v>thermal_recon</x:v>
      </x:c>
      <x:c r="H70" s="32" t="str">
        <x:v>No</x:v>
      </x:c>
      <x:c r="I70" s="32" t="str">
        <x:v>None</x:v>
      </x:c>
    </x:row>
    <x:row r="71" ht="38" customHeight="1">
      <x:c r="A71" s="29" t="str">
        <x:v>HLD-070</x:v>
      </x:c>
      <x:c r="B71" s="29" t="str">
        <x:v>地面看不全就空中补：机子把那个罐从顶到底转着圈拍，防雷带、接闪杆着重来；雷云没散透，抓紧窗口期速战速决。</x:v>
      </x:c>
      <x:c r="C71" s="32" t="str">
        <x:v>InfrastructureInspection</x:v>
      </x:c>
      <x:c r="D71" s="32" t="str">
        <x:v>那个罐</x:v>
      </x:c>
      <x:c r="E71" s="32" t="str">
        <x:v>High</x:v>
      </x:c>
      <x:c r="F71" s="32" t="str">
        <x:v>urgent_unspecified</x:v>
      </x:c>
      <x:c r="G71" s="32" t="str">
        <x:v>infrastructure_photo</x:v>
      </x:c>
      <x:c r="H71" s="32" t="str">
        <x:v>No</x:v>
      </x:c>
      <x:c r="I71" s="32" t="str">
        <x:v>None</x:v>
      </x:c>
    </x:row>
    <x:row r="72" ht="38" customHeight="1">
      <x:c r="A72" s="29" t="str">
        <x:v>HLD-071</x:v>
      </x:c>
      <x:c r="B72" s="29" t="str">
        <x:v>机子先上事故点把全景拍了给交警，再掉头沿着车龙往后飞，瞅瞅应急车道哪儿堵死了；救援车全指着这画面进场呢。</x:v>
      </x:c>
      <x:c r="C72" s="32" t="str">
        <x:v>TrafficMonitoring</x:v>
      </x:c>
      <x:c r="D72" s="32" t="str">
        <x:v>事故点和应急车道</x:v>
      </x:c>
      <x:c r="E72" s="32" t="str">
        <x:v>Critical</x:v>
      </x:c>
      <x:c r="F72" s="32" t="str">
        <x:v>unspecified</x:v>
      </x:c>
      <x:c r="G72" s="32" t="str">
        <x:v>traffic_monitoring</x:v>
      </x:c>
      <x:c r="H72" s="32" t="str">
        <x:v>No</x:v>
      </x:c>
      <x:c r="I72" s="32" t="str">
        <x:v>None</x:v>
      </x:c>
    </x:row>
    <x:row r="73" ht="38" customHeight="1">
      <x:c r="A73" s="29" t="str">
        <x:v>HLD-072</x:v>
      </x:c>
      <x:c r="B73" s="29" t="str">
        <x:v>车翻林坡里了，机子从弯道上方切进去，把车身姿态和人员活动拍清楚；坡陡树密，高度自己拿捏，画面直给救援队长。</x:v>
      </x:c>
      <x:c r="C73" s="32" t="str">
        <x:v>SearchAndRescue</x:v>
      </x:c>
      <x:c r="D73" s="32" t="str">
        <x:v>弯道下方林坡</x:v>
      </x:c>
      <x:c r="E73" s="32" t="str">
        <x:v>Critical</x:v>
      </x:c>
      <x:c r="F73" s="32" t="str">
        <x:v>unspecified</x:v>
      </x:c>
      <x:c r="G73" s="32" t="str">
        <x:v>unknown_or_other</x:v>
      </x:c>
      <x:c r="H73" s="32" t="str">
        <x:v>No</x:v>
      </x:c>
      <x:c r="I73" s="32" t="str">
        <x:v>None</x:v>
      </x:c>
    </x:row>
    <x:row r="74" ht="38" customHeight="1">
      <x:c r="A74" s="29" t="str">
        <x:v>HLD-073</x:v>
      </x:c>
      <x:c r="B74" s="29" t="str">
        <x:v>起火那车正上空让开，机子在侧风向把火势和过火范围拍了；再瞅一眼东桥头堵到哪儿了，交警等着分流数据呢。</x:v>
      </x:c>
      <x:c r="C74" s="32" t="str">
        <x:v>FireRecon</x:v>
      </x:c>
      <x:c r="D74" s="32" t="str">
        <x:v>起火那车</x:v>
      </x:c>
      <x:c r="E74" s="32" t="str">
        <x:v>Critical</x:v>
      </x:c>
      <x:c r="F74" s="32" t="str">
        <x:v>unspecified</x:v>
      </x:c>
      <x:c r="G74" s="32" t="str">
        <x:v>mapping</x:v>
      </x:c>
      <x:c r="H74" s="32" t="str">
        <x:v>No</x:v>
      </x:c>
      <x:c r="I74" s="32" t="str">
        <x:v>None</x:v>
      </x:c>
    </x:row>
    <x:row r="75" ht="38" customHeight="1">
      <x:c r="A75" s="29" t="str">
        <x:v>HLD-074</x:v>
      </x:c>
      <x:c r="B75" s="29" t="str">
        <x:v>夜里看不清就上带探照灯的机子，把倒下那段隔音屏占了几条道拍明白；来车方向上游多照会儿，提醒地面摆锥桶。</x:v>
      </x:c>
      <x:c r="C75" s="32" t="str">
        <x:v>TrafficMonitoring</x:v>
      </x:c>
      <x:c r="D75" s="32" t="str">
        <x:v>倒下那段隔音屏</x:v>
      </x:c>
      <x:c r="E75" s="32" t="str">
        <x:v>High</x:v>
      </x:c>
      <x:c r="F75" s="32" t="str">
        <x:v>unspecified</x:v>
      </x:c>
      <x:c r="G75" s="32" t="str">
        <x:v>traffic_monitoring</x:v>
      </x:c>
      <x:c r="H75" s="32" t="str">
        <x:v>No</x:v>
      </x:c>
      <x:c r="I75" s="32" t="str">
        <x:v>None</x:v>
      </x:c>
    </x:row>
    <x:row r="76" ht="38" customHeight="1">
      <x:c r="A76" s="29" t="str">
        <x:v>HLD-075</x:v>
      </x:c>
      <x:c r="B76" s="29" t="str">
        <x:v>漂那条船，机子跟上，位置隔两分钟报一回，瞅瞅船上有没有人挥手；渡口边上那条，顺带拍个受损情况。</x:v>
      </x:c>
      <x:c r="C76" s="32" t="str">
        <x:v>SearchAndRescue</x:v>
      </x:c>
      <x:c r="D76" s="32" t="str">
        <x:v>漂那条船</x:v>
      </x:c>
      <x:c r="E76" s="32" t="str">
        <x:v>Critical</x:v>
      </x:c>
      <x:c r="F76" s="32" t="str">
        <x:v>urgent_unspecified</x:v>
      </x:c>
      <x:c r="G76" s="32" t="str">
        <x:v>unknown_or_other</x:v>
      </x:c>
      <x:c r="H76" s="32" t="str">
        <x:v>No</x:v>
      </x:c>
      <x:c r="I76" s="32" t="str">
        <x:v>None</x:v>
      </x:c>
    </x:row>
    <x:row r="77" ht="38" customHeight="1">
      <x:c r="A77" s="29" t="str">
        <x:v>HLD-076</x:v>
      </x:c>
      <x:c r="B77" s="29" t="str">
        <x:v>道口那台工程车，机子过去拍清楚占没占轨道、占了几股；列车在上头站憋着呢，五分钟内把画面给行车调度。</x:v>
      </x:c>
      <x:c r="C77" s="32" t="str">
        <x:v>TrafficMonitoring</x:v>
      </x:c>
      <x:c r="D77" s="32" t="str">
        <x:v>道口那台工程车</x:v>
      </x:c>
      <x:c r="E77" s="32" t="str">
        <x:v>High</x:v>
      </x:c>
      <x:c r="F77" s="32" t="str">
        <x:v>urgent_unspecified</x:v>
      </x:c>
      <x:c r="G77" s="32" t="str">
        <x:v>traffic_monitoring</x:v>
      </x:c>
      <x:c r="H77" s="32" t="str">
        <x:v>No</x:v>
      </x:c>
      <x:c r="I77" s="32" t="str">
        <x:v>None</x:v>
      </x:c>
    </x:row>
    <x:row r="78" ht="38" customHeight="1">
      <x:c r="A78" s="29" t="str">
        <x:v>HLD-077</x:v>
      </x:c>
      <x:c r="B78" s="29" t="str">
        <x:v>救护车通道让私家车堵了，机子上去喊话，挨个儿催挪车；顺带把出口到主路这段的堵点拍给交警，赶紧疏。</x:v>
      </x:c>
      <x:c r="C78" s="32" t="str">
        <x:v>EvacuationSupport</x:v>
      </x:c>
      <x:c r="D78" s="32" t="str">
        <x:v>救护车通道</x:v>
      </x:c>
      <x:c r="E78" s="32" t="str">
        <x:v>High</x:v>
      </x:c>
      <x:c r="F78" s="32" t="str">
        <x:v>urgent_unspecified</x:v>
      </x:c>
      <x:c r="G78" s="32" t="str">
        <x:v>loudspeaker_guidance</x:v>
      </x:c>
      <x:c r="H78" s="32" t="str">
        <x:v>No</x:v>
      </x:c>
      <x:c r="I78" s="32" t="str">
        <x:v>None</x:v>
      </x:c>
    </x:row>
    <x:row r="79" ht="38" customHeight="1">
      <x:c r="A79" s="29" t="str">
        <x:v>HLD-078</x:v>
      </x:c>
      <x:c r="B79" s="29" t="str">
        <x:v>隧道口机子候着，烟不大就进去溜一段，重点瞅北向俩横通道口有没有人；烟一浓立马退出来，甭跟烟较劲。</x:v>
      </x:c>
      <x:c r="C79" s="32" t="str">
        <x:v>SearchAndRescue</x:v>
      </x:c>
      <x:c r="D79" s="32" t="str">
        <x:v>北向俩横通道口</x:v>
      </x:c>
      <x:c r="E79" s="32" t="str">
        <x:v>Critical</x:v>
      </x:c>
      <x:c r="F79" s="32" t="str">
        <x:v>urgent_unspecified</x:v>
      </x:c>
      <x:c r="G79" s="32" t="str">
        <x:v>unknown_or_other</x:v>
      </x:c>
      <x:c r="H79" s="32" t="str">
        <x:v>No</x:v>
      </x:c>
      <x:c r="I79" s="32" t="str">
        <x:v>None</x:v>
      </x:c>
    </x:row>
    <x:row r="80" ht="38" customHeight="1">
      <x:c r="A80" s="29" t="str">
        <x:v>HLD-079</x:v>
      </x:c>
      <x:c r="B80" s="29" t="str">
        <x:v>先奔南端，喊话让那些车全停下别过；再把冲坏的路基拍全喽，缺口多宽多深给个数儿，路政等着定封不封呢。</x:v>
      </x:c>
      <x:c r="C80" s="32" t="str">
        <x:v>TrafficMonitoring</x:v>
      </x:c>
      <x:c r="D80" s="32" t="str">
        <x:v>南端冲坏的路基</x:v>
      </x:c>
      <x:c r="E80" s="32" t="str">
        <x:v>High</x:v>
      </x:c>
      <x:c r="F80" s="32" t="str">
        <x:v>unspecified</x:v>
      </x:c>
      <x:c r="G80" s="32" t="str">
        <x:v>traffic_monitoring</x:v>
      </x:c>
      <x:c r="H80" s="32" t="str">
        <x:v>No</x:v>
      </x:c>
      <x:c r="I80" s="32" t="str">
        <x:v>None</x:v>
      </x:c>
    </x:row>
    <x:row r="81" ht="38" customHeight="1">
      <x:c r="A81" s="29" t="str">
        <x:v>HLD-080</x:v>
      </x:c>
      <x:c r="B81" s="29" t="str">
        <x:v>三岔口那片儿，机子顶着风去，找那台领航车，找着了喊话确认人没事儿；冰雹再砸就先避一避，机子别硬扛。</x:v>
      </x:c>
      <x:c r="C81" s="32" t="str">
        <x:v>SearchAndRescue</x:v>
      </x:c>
      <x:c r="D81" s="32" t="str">
        <x:v>三岔口那片儿</x:v>
      </x:c>
      <x:c r="E81" s="32" t="str">
        <x:v>Critical</x:v>
      </x:c>
      <x:c r="F81" s="32" t="str">
        <x:v>unspecified</x:v>
      </x:c>
      <x:c r="G81" s="32" t="str">
        <x:v>loudspeaker_guidance</x:v>
      </x:c>
      <x:c r="H81" s="32" t="str">
        <x:v>No</x:v>
      </x:c>
      <x:c r="I81" s="32" t="str">
        <x:v>None</x:v>
      </x:c>
    </x:row>
    <x:row r="82" ht="38" customHeight="1">
      <x:c r="A82" s="29" t="str">
        <x:v>HLD-081</x:v>
      </x:c>
      <x:c r="B82" s="29" t="str">
        <x:v>没确认那几户，机子挨家把房顶院子过一遍，瞅见人就悬停喊话，位置直接报转移队；广场那头儿有地面盯着呢。</x:v>
      </x:c>
      <x:c r="C82" s="32" t="str">
        <x:v>SearchAndRescue</x:v>
      </x:c>
      <x:c r="D82" s="32" t="str">
        <x:v>没确认那几户</x:v>
      </x:c>
      <x:c r="E82" s="32" t="str">
        <x:v>Critical</x:v>
      </x:c>
      <x:c r="F82" s="32" t="str">
        <x:v>unspecified</x:v>
      </x:c>
      <x:c r="G82" s="32" t="str">
        <x:v>loudspeaker_guidance</x:v>
      </x:c>
      <x:c r="H82" s="32" t="str">
        <x:v>No</x:v>
      </x:c>
      <x:c r="I82" s="32" t="str">
        <x:v>None</x:v>
      </x:c>
    </x:row>
    <x:row r="83" ht="38" customHeight="1">
      <x:c r="A83" s="29" t="str">
        <x:v>HLD-082</x:v>
      </x:c>
      <x:c r="B83" s="29" t="str">
        <x:v>主路烟大走不了，机子先把南边果园那条备用道趟一遍，能不能过车给句痛快话；行就通知养老院立马走，别等。</x:v>
      </x:c>
      <x:c r="C83" s="32" t="str">
        <x:v>EvacuationSupport</x:v>
      </x:c>
      <x:c r="D83" s="32" t="str">
        <x:v>南边果园那条备用道</x:v>
      </x:c>
      <x:c r="E83" s="32" t="str">
        <x:v>Critical</x:v>
      </x:c>
      <x:c r="F83" s="32" t="str">
        <x:v>urgent_unspecified</x:v>
      </x:c>
      <x:c r="G83" s="32" t="str">
        <x:v>infrastructure_photo</x:v>
      </x:c>
      <x:c r="H83" s="32" t="str">
        <x:v>No</x:v>
      </x:c>
      <x:c r="I83" s="32" t="str">
        <x:v>None</x:v>
      </x:c>
    </x:row>
    <x:row r="84" ht="38" customHeight="1">
      <x:c r="A84" s="29" t="str">
        <x:v>HLD-083</x:v>
      </x:c>
      <x:c r="B84" s="29" t="str">
        <x:v>水和孩子用的东西先凑一批，机子分两趟送体育馆，落点用馆前空地；落前跟里头管事儿的对好，别砸人堆里。</x:v>
      </x:c>
      <x:c r="C84" s="32" t="str">
        <x:v>SupplyDelivery</x:v>
      </x:c>
      <x:c r="D84" s="32" t="str">
        <x:v>体育馆馆前空地</x:v>
      </x:c>
      <x:c r="E84" s="32" t="str">
        <x:v>High</x:v>
      </x:c>
      <x:c r="F84" s="32" t="str">
        <x:v>unspecified</x:v>
      </x:c>
      <x:c r="G84" s="32" t="str">
        <x:v>supply_payload</x:v>
      </x:c>
      <x:c r="H84" s="32" t="str">
        <x:v>No</x:v>
      </x:c>
      <x:c r="I84" s="32" t="str">
        <x:v>None</x:v>
      </x:c>
    </x:row>
    <x:row r="85" ht="38" customHeight="1">
      <x:c r="A85" s="29" t="str">
        <x:v>HLD-084</x:v>
      </x:c>
      <x:c r="B85" s="29" t="str">
        <x:v>东单元那栋，机子隔着安全距离挨层喊话，窗口有人应就把楼层位置记下来报地面；燃气没散利索，甭往楼跟前儿凑。</x:v>
      </x:c>
      <x:c r="C85" s="32" t="str">
        <x:v>EvacuationSupport</x:v>
      </x:c>
      <x:c r="D85" s="32" t="str">
        <x:v>东单元那栋</x:v>
      </x:c>
      <x:c r="E85" s="32" t="str">
        <x:v>Critical</x:v>
      </x:c>
      <x:c r="F85" s="32" t="str">
        <x:v>unspecified</x:v>
      </x:c>
      <x:c r="G85" s="32" t="str">
        <x:v>loudspeaker_guidance</x:v>
      </x:c>
      <x:c r="H85" s="32" t="str">
        <x:v>No</x:v>
      </x:c>
      <x:c r="I85" s="32" t="str">
        <x:v>None</x:v>
      </x:c>
    </x:row>
    <x:row r="86" ht="38" customHeight="1">
      <x:c r="A86" s="29" t="str">
        <x:v>HLD-085</x:v>
      </x:c>
      <x:c r="B86" s="29" t="str">
        <x:v>先给礼堂空投一批瓶装水应急，落点礼堂前空场；回头再派一架把码头受损情况拍全，抢修队看完好定方案。</x:v>
      </x:c>
      <x:c r="C86" s="32" t="str">
        <x:v>SupplyDelivery</x:v>
      </x:c>
      <x:c r="D86" s="32" t="str">
        <x:v>礼堂前空场</x:v>
      </x:c>
      <x:c r="E86" s="32" t="str">
        <x:v>High</x:v>
      </x:c>
      <x:c r="F86" s="32" t="str">
        <x:v>unspecified</x:v>
      </x:c>
      <x:c r="G86" s="32" t="str">
        <x:v>supply_payload</x:v>
      </x:c>
      <x:c r="H86" s="32" t="str">
        <x:v>No</x:v>
      </x:c>
      <x:c r="I86" s="32" t="str">
        <x:v>None</x:v>
      </x:c>
    </x:row>
    <x:row r="87" ht="38" customHeight="1">
      <x:c r="A87" s="29" t="str">
        <x:v>HLD-086</x:v>
      </x:c>
      <x:c r="B87" s="29" t="str">
        <x:v>西门就一条线能走人，机子在上空盯着人流，对着堵的地方喊话疏导；碎石区上头顺带拍两张给清障的。</x:v>
      </x:c>
      <x:c r="C87" s="32" t="str">
        <x:v>EvacuationSupport</x:v>
      </x:c>
      <x:c r="D87" s="32" t="str">
        <x:v>西门</x:v>
      </x:c>
      <x:c r="E87" s="32" t="str">
        <x:v>High</x:v>
      </x:c>
      <x:c r="F87" s="32" t="str">
        <x:v>unspecified</x:v>
      </x:c>
      <x:c r="G87" s="32" t="str">
        <x:v>loudspeaker_guidance</x:v>
      </x:c>
      <x:c r="H87" s="32" t="str">
        <x:v>No</x:v>
      </x:c>
      <x:c r="I87" s="32" t="str">
        <x:v>None</x:v>
      </x:c>
    </x:row>
    <x:row r="88" ht="38" customHeight="1">
      <x:c r="A88" s="29" t="str">
        <x:v>HLD-087</x:v>
      </x:c>
      <x:c r="B88" s="29" t="str">
        <x:v>广播哑了那个分区，派带喊话的机子过去，转移路线一遍遍播，播到人走空为止；另一个区上空瞅一眼撤没撤利索。</x:v>
      </x:c>
      <x:c r="C88" s="32" t="str">
        <x:v>EvacuationSupport</x:v>
      </x:c>
      <x:c r="D88" s="32" t="str">
        <x:v>广播哑了那个分区</x:v>
      </x:c>
      <x:c r="E88" s="32" t="str">
        <x:v>Critical</x:v>
      </x:c>
      <x:c r="F88" s="32" t="str">
        <x:v>unspecified</x:v>
      </x:c>
      <x:c r="G88" s="32" t="str">
        <x:v>loudspeaker_guidance</x:v>
      </x:c>
      <x:c r="H88" s="32" t="str">
        <x:v>No</x:v>
      </x:c>
      <x:c r="I88" s="32" t="str">
        <x:v>None</x:v>
      </x:c>
    </x:row>
    <x:row r="89" ht="38" customHeight="1">
      <x:c r="A89" s="29" t="str">
        <x:v>HLD-088</x:v>
      </x:c>
      <x:c r="B89" s="29" t="str">
        <x:v>村委会取暖点，机子先送一批应急照明和电热毯，落院里；顺带把全村烟囱冒烟情况扫一遍，没动静的户报出来。</x:v>
      </x:c>
      <x:c r="C89" s="32" t="str">
        <x:v>SupplyDelivery</x:v>
      </x:c>
      <x:c r="D89" s="32" t="str">
        <x:v>村委会取暖点</x:v>
      </x:c>
      <x:c r="E89" s="32" t="str">
        <x:v>High</x:v>
      </x:c>
      <x:c r="F89" s="32" t="str">
        <x:v>unspecified</x:v>
      </x:c>
      <x:c r="G89" s="32" t="str">
        <x:v>supply_payload</x:v>
      </x:c>
      <x:c r="H89" s="32" t="str">
        <x:v>No</x:v>
      </x:c>
      <x:c r="I89" s="32" t="str">
        <x:v>None</x:v>
      </x:c>
    </x:row>
    <x:row r="90" ht="38" customHeight="1">
      <x:c r="A90" s="29" t="str">
        <x:v>HLD-089</x:v>
      </x:c>
      <x:c r="B90" s="29" t="str">
        <x:v>屋顶那几位，机子马上过去悬停，喊话稳住人心，说船这就到；坐标发冲锋舟，再把水围了几面拍给救援队。</x:v>
      </x:c>
      <x:c r="C90" s="32" t="str">
        <x:v>SearchAndRescue</x:v>
      </x:c>
      <x:c r="D90" s="32" t="str">
        <x:v>屋顶</x:v>
      </x:c>
      <x:c r="E90" s="32" t="str">
        <x:v>Critical</x:v>
      </x:c>
      <x:c r="F90" s="32" t="str">
        <x:v>urgent_unspecified</x:v>
      </x:c>
      <x:c r="G90" s="32" t="str">
        <x:v>loudspeaker_guidance</x:v>
      </x:c>
      <x:c r="H90" s="32" t="str">
        <x:v>No</x:v>
      </x:c>
      <x:c r="I90" s="32" t="str">
        <x:v>None</x:v>
      </x:c>
    </x:row>
    <x:row r="91" ht="38" customHeight="1">
      <x:c r="A91" s="29" t="str">
        <x:v>HLD-090</x:v>
      </x:c>
      <x:c r="B91" s="29" t="str">
        <x:v>南广场到地铁口这段，机子升起来盯着，哪儿对撞得厉害就在哪儿上空喊话分流；两分钟报一次密度，散利索了再收。</x:v>
      </x:c>
      <x:c r="C91" s="32" t="str">
        <x:v>EvacuationSupport</x:v>
      </x:c>
      <x:c r="D91" s="32" t="str">
        <x:v>南广场到地铁口这段</x:v>
      </x:c>
      <x:c r="E91" s="32" t="str">
        <x:v>High</x:v>
      </x:c>
      <x:c r="F91" s="32" t="str">
        <x:v>urgent_unspecified</x:v>
      </x:c>
      <x:c r="G91" s="32" t="str">
        <x:v>loudspeaker_guidance</x:v>
      </x:c>
      <x:c r="H91" s="32" t="str">
        <x:v>No</x:v>
      </x:c>
      <x:c r="I91" s="32" t="str">
        <x:v>None</x:v>
      </x:c>
    </x:row>
    <x:row r="92" ht="38" customHeight="1">
      <x:c r="A92" s="29" t="str">
        <x:v>HLD-091</x:v>
      </x:c>
      <x:c r="B92" s="29" t="str">
        <x:v>俩机要在峡谷里撞时隙，那不成！延误那架在谷口外盘旋候着，先让准点的过；时隙我这边重新排，排完再放。</x:v>
      </x:c>
      <x:c r="C92" s="32" t="str">
        <x:v>RouteReplan</x:v>
      </x:c>
      <x:c r="D92" s="32" t="str">
        <x:v>峡谷</x:v>
      </x:c>
      <x:c r="E92" s="32" t="str">
        <x:v>High</x:v>
      </x:c>
      <x:c r="F92" s="32" t="str">
        <x:v>unspecified</x:v>
      </x:c>
      <x:c r="G92" s="32" t="str">
        <x:v>route_replan</x:v>
      </x:c>
      <x:c r="H92" s="32" t="str">
        <x:v>Yes</x:v>
      </x:c>
      <x:c r="I92" s="32" t="str">
        <x:v>PolicyOrAirspaceConflict</x:v>
      </x:c>
    </x:row>
    <x:row r="93" ht="38" customHeight="1">
      <x:c r="A93" s="29" t="str">
        <x:v>HLD-092</x:v>
      </x:c>
      <x:c r="B93" s="29" t="str">
        <x:v>投送点改了，改河对岸体育场！在途那架直接改航过去，落点选场子中圈；跟体育场对好接收人，原医疗点甭去了。</x:v>
      </x:c>
      <x:c r="C93" s="32" t="str">
        <x:v>RouteReplan</x:v>
      </x:c>
      <x:c r="D93" s="32" t="str">
        <x:v>河对岸体育场</x:v>
      </x:c>
      <x:c r="E93" s="32" t="str">
        <x:v>High</x:v>
      </x:c>
      <x:c r="F93" s="32" t="str">
        <x:v>unspecified</x:v>
      </x:c>
      <x:c r="G93" s="32" t="str">
        <x:v>route_replan</x:v>
      </x:c>
      <x:c r="H93" s="32" t="str">
        <x:v>Yes</x:v>
      </x:c>
      <x:c r="I93" s="32" t="str">
        <x:v>None</x:v>
      </x:c>
    </x:row>
    <x:row r="94" ht="38" customHeight="1">
      <x:c r="A94" s="29" t="str">
        <x:v>HLD-093</x:v>
      </x:c>
      <x:c r="B94" s="29" t="str">
        <x:v>载人的最大，咱让！火情侦察那架先出走廊，绕南边儿重新进；跟直升机那边通报清楚，错开高度层，谁也别别谁。</x:v>
      </x:c>
      <x:c r="C94" s="32" t="str">
        <x:v>RouteReplan</x:v>
      </x:c>
      <x:c r="D94" s="32" t="str">
        <x:v>南边儿</x:v>
      </x:c>
      <x:c r="E94" s="32" t="str">
        <x:v>Critical</x:v>
      </x:c>
      <x:c r="F94" s="32" t="str">
        <x:v>unspecified</x:v>
      </x:c>
      <x:c r="G94" s="32" t="str">
        <x:v>route_replan</x:v>
      </x:c>
      <x:c r="H94" s="32" t="str">
        <x:v>Yes</x:v>
      </x:c>
      <x:c r="I94" s="32" t="str">
        <x:v>PolicyOrAirspaceConflict</x:v>
      </x:c>
    </x:row>
    <x:row r="95" ht="38" customHeight="1">
      <x:c r="A95" s="29" t="str">
        <x:v>HLD-094</x:v>
      </x:c>
      <x:c r="B95" s="29" t="str">
        <x:v>原起降点泡汤了，机子先把俩候选空地各瞅一遍，平整度、净空给句痛快话；哪个成用哪个，确认完任务接着走。</x:v>
      </x:c>
      <x:c r="C95" s="32" t="str">
        <x:v>RouteReplan</x:v>
      </x:c>
      <x:c r="D95" s="32" t="str">
        <x:v>俩候选空地</x:v>
      </x:c>
      <x:c r="E95" s="32" t="str">
        <x:v>High</x:v>
      </x:c>
      <x:c r="F95" s="32" t="str">
        <x:v>unspecified</x:v>
      </x:c>
      <x:c r="G95" s="32" t="str">
        <x:v>route_replan</x:v>
      </x:c>
      <x:c r="H95" s="32" t="str">
        <x:v>Yes</x:v>
      </x:c>
      <x:c r="I95" s="32" t="str">
        <x:v>IncompleteConstraint</x:v>
      </x:c>
    </x:row>
    <x:row r="96" ht="38" customHeight="1">
      <x:c r="A96" s="29" t="str">
        <x:v>HLD-095</x:v>
      </x:c>
      <x:c r="B96" s="29" t="str">
        <x:v>风眼瞅着要超限，中继机别硬顶，往低处背风位置挪；挪完还超就直接换抗风大的机型上，链路不能断。</x:v>
      </x:c>
      <x:c r="C96" s="32" t="str">
        <x:v>CommunicationRelay</x:v>
      </x:c>
      <x:c r="D96" s="32" t="str">
        <x:v>低处背风位置</x:v>
      </x:c>
      <x:c r="E96" s="32" t="str">
        <x:v>High</x:v>
      </x:c>
      <x:c r="F96" s="32" t="str">
        <x:v>unspecified</x:v>
      </x:c>
      <x:c r="G96" s="32" t="str">
        <x:v>communication_relay</x:v>
      </x:c>
      <x:c r="H96" s="32" t="str">
        <x:v>Yes</x:v>
      </x:c>
      <x:c r="I96" s="32" t="str">
        <x:v>None</x:v>
      </x:c>
    </x:row>
    <x:row r="97" ht="38" customHeight="1">
      <x:c r="A97" s="29" t="str">
        <x:v>HLD-096</x:v>
      </x:c>
      <x:c r="B97" s="29" t="str">
        <x:v>电不够就别逞能，俩点保一个，紧要的那个先送；另一个点提前打招呼，下一架补上；投完够电回来就成，甭玩悬的。</x:v>
      </x:c>
      <x:c r="C97" s="32" t="str">
        <x:v>PriorityPreemption</x:v>
      </x:c>
      <x:c r="D97" s="32" t="str">
        <x:v>Unspecified</x:v>
      </x:c>
      <x:c r="E97" s="32" t="str">
        <x:v>High</x:v>
      </x:c>
      <x:c r="F97" s="32" t="str">
        <x:v>unspecified</x:v>
      </x:c>
      <x:c r="G97" s="32" t="str">
        <x:v>route_replan</x:v>
      </x:c>
      <x:c r="H97" s="32" t="str">
        <x:v>Yes</x:v>
      </x:c>
      <x:c r="I97" s="32" t="str">
        <x:v>IncompleteConstraint</x:v>
      </x:c>
    </x:row>
    <x:row r="98" ht="38" customHeight="1">
      <x:c r="A98" s="29" t="str">
        <x:v>HLD-097</x:v>
      </x:c>
      <x:c r="B98" s="29" t="str">
        <x:v>下游划禁飞区了，巡查那架立马收，别往下游钻；返航道也沾边儿，改从西岸绕回来，新航线我这就给你发。</x:v>
      </x:c>
      <x:c r="C98" s="32" t="str">
        <x:v>RouteReplan</x:v>
      </x:c>
      <x:c r="D98" s="32" t="str">
        <x:v>西岸</x:v>
      </x:c>
      <x:c r="E98" s="32" t="str">
        <x:v>High</x:v>
      </x:c>
      <x:c r="F98" s="32" t="str">
        <x:v>urgent_unspecified</x:v>
      </x:c>
      <x:c r="G98" s="32" t="str">
        <x:v>route_replan</x:v>
      </x:c>
      <x:c r="H98" s="32" t="str">
        <x:v>Yes</x:v>
      </x:c>
      <x:c r="I98" s="32" t="str">
        <x:v>PolicyOrAirspaceConflict</x:v>
      </x:c>
    </x:row>
    <x:row r="99" ht="38" customHeight="1">
      <x:c r="A99" s="29" t="str">
        <x:v>HLD-098</x:v>
      </x:c>
      <x:c r="B99" s="29" t="str">
        <x:v>载荷坏那架先回来换件儿，它那片儿暂时空着；邻区机组手头的活儿干完，顺带把这片儿捎着扫了，热成像省着用。</x:v>
      </x:c>
      <x:c r="C99" s="32" t="str">
        <x:v>SearchAndRescue</x:v>
      </x:c>
      <x:c r="D99" s="32" t="str">
        <x:v>Unspecified</x:v>
      </x:c>
      <x:c r="E99" s="32" t="str">
        <x:v>Critical</x:v>
      </x:c>
      <x:c r="F99" s="32" t="str">
        <x:v>unspecified</x:v>
      </x:c>
      <x:c r="G99" s="32" t="str">
        <x:v>thermal_recon</x:v>
      </x:c>
      <x:c r="H99" s="32" t="str">
        <x:v>No</x:v>
      </x:c>
      <x:c r="I99" s="32" t="str">
        <x:v>ResourceUnavailable</x:v>
      </x:c>
    </x:row>
    <x:row r="100" ht="38" customHeight="1">
      <x:c r="A100" s="29" t="str">
        <x:v>HLD-099</x:v>
      </x:c>
      <x:c r="B100" s="29" t="str">
        <x:v>那盏导航灯灭了，改航批文还没下来，夜航任务先压一压，谁也不许摸黑硬闯；批文一到马上放飞，我盯着催。</x:v>
      </x:c>
      <x:c r="C100" s="32" t="str">
        <x:v>RouteReplan</x:v>
      </x:c>
      <x:c r="D100" s="32" t="str">
        <x:v>夜间应急航线</x:v>
      </x:c>
      <x:c r="E100" s="32" t="str">
        <x:v>High</x:v>
      </x:c>
      <x:c r="F100" s="32" t="str">
        <x:v>urgent_unspecified</x:v>
      </x:c>
      <x:c r="G100" s="32" t="str">
        <x:v>route_replan</x:v>
      </x:c>
      <x:c r="H100" s="32" t="str">
        <x:v>Yes</x:v>
      </x:c>
      <x:c r="I100" s="32" t="str">
        <x:v>HumanApprovalRequired</x:v>
      </x:c>
    </x:row>
    <x:row r="101" ht="38" customHeight="1">
      <x:c r="A101" s="30" t="str">
        <x:v>HLD-100</x:v>
      </x:c>
      <x:c r="B101" s="30" t="str">
        <x:v>就剩一架还犹豫什么？救人要紧！巡查先撂下，机子直奔救援点；巡查的窟窿回头补，这事儿我担着。</x:v>
      </x:c>
      <x:c r="C101" s="33" t="str">
        <x:v>PriorityPreemption</x:v>
      </x:c>
      <x:c r="D101" s="33" t="str">
        <x:v>救援点</x:v>
      </x:c>
      <x:c r="E101" s="33" t="str">
        <x:v>Critical</x:v>
      </x:c>
      <x:c r="F101" s="33" t="str">
        <x:v>urgent_unspecified</x:v>
      </x:c>
      <x:c r="G101" s="33" t="str">
        <x:v>route_replan</x:v>
      </x:c>
      <x:c r="H101" s="33" t="str">
        <x:v>Yes</x:v>
      </x:c>
      <x:c r="I101" s="33" t="str">
        <x:v>None</x:v>
      </x:c>
    </x:row>
  </x:sheetData>
  <x:pageMargins left="0.7" right="0.7" top="0.75" bottom="0.75" header="0.3" footer="0.3"/>
  <x:tableParts count="1">
    <x:tablePart xmlns:r="http://schemas.openxmlformats.org/officeDocument/2006/relationships" r:id="R004caedd7d4d4e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5" max="5" width="24" hidden="0" customWidth="1"/>
    <x:col min="6" max="6" width="20" hidden="0" customWidth="1"/>
  </x:cols>
  <x:sheetData>
    <x:row r="1">
      <x:c r="A1" s="42" t="str">
        <x:v>check</x:v>
      </x:c>
      <x:c r="B1" s="43" t="str">
        <x:v>value</x:v>
      </x:c>
      <x:c r="C1" s="44" t="str">
        <x:v>expected</x:v>
      </x:c>
      <x:c r="E1" s="42" t="str">
        <x:v>instruction_id_helper</x:v>
      </x:c>
      <x:c r="F1" s="44" t="str">
        <x:v>id_occurrences</x:v>
      </x:c>
    </x:row>
    <x:row r="2">
      <x:c r="A2" s="45" t="str">
        <x:v>records</x:v>
      </x:c>
      <x:c r="B2" s="14" t="n">
        <x:f>COUNTA('Gold_Standard'!A2:A101)</x:f>
        <x:v>100</x:v>
      </x:c>
      <x:c r="C2" s="14" t="n">
        <x:v>100</x:v>
      </x:c>
      <x:c r="E2" s="14" t="str">
        <x:f>'Gold_Standard'!A2</x:f>
        <x:v>HLD-001</x:v>
      </x:c>
      <x:c r="F2" s="14" t="n">
        <x:f>COUNTIF('Gold_Standard'!$A$2:$A$101,E2)</x:f>
        <x:v>1</x:v>
      </x:c>
    </x:row>
    <x:row r="3">
      <x:c r="A3" s="46" t="str">
        <x:v>unique_instruction_ids</x:v>
      </x:c>
      <x:c r="B3" s="15" t="n">
        <x:f>COUNTIF(F2:F101,1)</x:f>
        <x:v>100</x:v>
      </x:c>
      <x:c r="C3" s="15" t="n">
        <x:v>100</x:v>
      </x:c>
      <x:c r="E3" s="15" t="str">
        <x:f>'Gold_Standard'!A3</x:f>
        <x:v>HLD-002</x:v>
      </x:c>
      <x:c r="F3" s="15" t="n">
        <x:f>COUNTIF('Gold_Standard'!$A$2:$A$101,E3)</x:f>
        <x:v>1</x:v>
      </x:c>
    </x:row>
    <x:row r="4">
      <x:c r="A4" s="46" t="str">
        <x:v>blank_instruction_text</x:v>
      </x:c>
      <x:c r="B4" s="15" t="n">
        <x:f>COUNTBLANK('Gold_Standard'!B2:B101)</x:f>
        <x:v>0</x:v>
      </x:c>
      <x:c r="C4" s="15" t="n">
        <x:v>0</x:v>
      </x:c>
      <x:c r="E4" s="15" t="str">
        <x:f>'Gold_Standard'!A4</x:f>
        <x:v>HLD-003</x:v>
      </x:c>
      <x:c r="F4" s="15" t="n">
        <x:f>COUNTIF('Gold_Standard'!$A$2:$A$101,E4)</x:f>
        <x:v>1</x:v>
      </x:c>
    </x:row>
    <x:row r="5">
      <x:c r="A5" s="46" t="str">
        <x:v>blank_label_cells</x:v>
      </x:c>
      <x:c r="B5" s="15" t="n">
        <x:f>COUNTBLANK('Gold_Standard'!C2:I101)</x:f>
        <x:v>0</x:v>
      </x:c>
      <x:c r="C5" s="15" t="n">
        <x:v>0</x:v>
      </x:c>
      <x:c r="E5" s="15" t="str">
        <x:f>'Gold_Standard'!A5</x:f>
        <x:v>HLD-004</x:v>
      </x:c>
      <x:c r="F5" s="15" t="n">
        <x:f>COUNTIF('Gold_Standard'!$A$2:$A$101,E5)</x:f>
        <x:v>1</x:v>
      </x:c>
    </x:row>
    <x:row r="6">
      <x:c r="A6" s="46" t="str">
        <x:v>label_cells</x:v>
      </x:c>
      <x:c r="B6" s="15" t="n">
        <x:f>COUNTA('Gold_Standard'!C2:I101)</x:f>
        <x:v>700</x:v>
      </x:c>
      <x:c r="C6" s="15" t="n">
        <x:v>700</x:v>
      </x:c>
      <x:c r="E6" s="15" t="str">
        <x:f>'Gold_Standard'!A6</x:f>
        <x:v>HLD-005</x:v>
      </x:c>
      <x:c r="F6" s="15" t="n">
        <x:f>COUNTIF('Gold_Standard'!$A$2:$A$101,E6)</x:f>
        <x:v>1</x:v>
      </x:c>
    </x:row>
    <x:row r="7">
      <x:c r="A7" s="47" t="str">
        <x:v>quality_status</x:v>
      </x:c>
      <x:c r="B7" s="48" t="str">
        <x:f>IF(AND(B2=C2,B3=C3,B4=C4,B5=C5,B6=C6),"PASS","FAIL")</x:f>
        <x:v>PASS</x:v>
      </x:c>
      <x:c r="C7" s="48" t="str">
        <x:v>PASS</x:v>
      </x:c>
      <x:c r="E7" s="15" t="str">
        <x:f>'Gold_Standard'!A7</x:f>
        <x:v>HLD-006</x:v>
      </x:c>
      <x:c r="F7" s="15" t="n">
        <x:f>COUNTIF('Gold_Standard'!$A$2:$A$101,E7)</x:f>
        <x:v>1</x:v>
      </x:c>
    </x:row>
    <x:row r="8">
      <x:c r="E8" s="15" t="str">
        <x:f>'Gold_Standard'!A8</x:f>
        <x:v>HLD-007</x:v>
      </x:c>
      <x:c r="F8" s="15" t="n">
        <x:f>COUNTIF('Gold_Standard'!$A$2:$A$101,E8)</x:f>
        <x:v>1</x:v>
      </x:c>
    </x:row>
    <x:row r="9">
      <x:c r="E9" s="15" t="str">
        <x:f>'Gold_Standard'!A9</x:f>
        <x:v>HLD-008</x:v>
      </x:c>
      <x:c r="F9" s="15" t="n">
        <x:f>COUNTIF('Gold_Standard'!$A$2:$A$101,E9)</x:f>
        <x:v>1</x:v>
      </x:c>
    </x:row>
    <x:row r="10">
      <x:c r="E10" s="15" t="str">
        <x:f>'Gold_Standard'!A10</x:f>
        <x:v>HLD-009</x:v>
      </x:c>
      <x:c r="F10" s="15" t="n">
        <x:f>COUNTIF('Gold_Standard'!$A$2:$A$101,E10)</x:f>
        <x:v>1</x:v>
      </x:c>
    </x:row>
    <x:row r="11">
      <x:c r="E11" s="15" t="str">
        <x:f>'Gold_Standard'!A11</x:f>
        <x:v>HLD-010</x:v>
      </x:c>
      <x:c r="F11" s="15" t="n">
        <x:f>COUNTIF('Gold_Standard'!$A$2:$A$101,E11)</x:f>
        <x:v>1</x:v>
      </x:c>
    </x:row>
    <x:row r="12">
      <x:c r="E12" s="15" t="str">
        <x:f>'Gold_Standard'!A12</x:f>
        <x:v>HLD-011</x:v>
      </x:c>
      <x:c r="F12" s="15" t="n">
        <x:f>COUNTIF('Gold_Standard'!$A$2:$A$101,E12)</x:f>
        <x:v>1</x:v>
      </x:c>
    </x:row>
    <x:row r="13">
      <x:c r="E13" s="15" t="str">
        <x:f>'Gold_Standard'!A13</x:f>
        <x:v>HLD-012</x:v>
      </x:c>
      <x:c r="F13" s="15" t="n">
        <x:f>COUNTIF('Gold_Standard'!$A$2:$A$101,E13)</x:f>
        <x:v>1</x:v>
      </x:c>
    </x:row>
    <x:row r="14">
      <x:c r="E14" s="15" t="str">
        <x:f>'Gold_Standard'!A14</x:f>
        <x:v>HLD-013</x:v>
      </x:c>
      <x:c r="F14" s="15" t="n">
        <x:f>COUNTIF('Gold_Standard'!$A$2:$A$101,E14)</x:f>
        <x:v>1</x:v>
      </x:c>
    </x:row>
    <x:row r="15">
      <x:c r="E15" s="15" t="str">
        <x:f>'Gold_Standard'!A15</x:f>
        <x:v>HLD-014</x:v>
      </x:c>
      <x:c r="F15" s="15" t="n">
        <x:f>COUNTIF('Gold_Standard'!$A$2:$A$101,E15)</x:f>
        <x:v>1</x:v>
      </x:c>
    </x:row>
    <x:row r="16">
      <x:c r="E16" s="15" t="str">
        <x:f>'Gold_Standard'!A16</x:f>
        <x:v>HLD-015</x:v>
      </x:c>
      <x:c r="F16" s="15" t="n">
        <x:f>COUNTIF('Gold_Standard'!$A$2:$A$101,E16)</x:f>
        <x:v>1</x:v>
      </x:c>
    </x:row>
    <x:row r="17">
      <x:c r="E17" s="15" t="str">
        <x:f>'Gold_Standard'!A17</x:f>
        <x:v>HLD-016</x:v>
      </x:c>
      <x:c r="F17" s="15" t="n">
        <x:f>COUNTIF('Gold_Standard'!$A$2:$A$101,E17)</x:f>
        <x:v>1</x:v>
      </x:c>
    </x:row>
    <x:row r="18">
      <x:c r="E18" s="15" t="str">
        <x:f>'Gold_Standard'!A18</x:f>
        <x:v>HLD-017</x:v>
      </x:c>
      <x:c r="F18" s="15" t="n">
        <x:f>COUNTIF('Gold_Standard'!$A$2:$A$101,E18)</x:f>
        <x:v>1</x:v>
      </x:c>
    </x:row>
    <x:row r="19">
      <x:c r="E19" s="15" t="str">
        <x:f>'Gold_Standard'!A19</x:f>
        <x:v>HLD-018</x:v>
      </x:c>
      <x:c r="F19" s="15" t="n">
        <x:f>COUNTIF('Gold_Standard'!$A$2:$A$101,E19)</x:f>
        <x:v>1</x:v>
      </x:c>
    </x:row>
    <x:row r="20">
      <x:c r="E20" s="15" t="str">
        <x:f>'Gold_Standard'!A20</x:f>
        <x:v>HLD-019</x:v>
      </x:c>
      <x:c r="F20" s="15" t="n">
        <x:f>COUNTIF('Gold_Standard'!$A$2:$A$101,E20)</x:f>
        <x:v>1</x:v>
      </x:c>
    </x:row>
    <x:row r="21">
      <x:c r="E21" s="15" t="str">
        <x:f>'Gold_Standard'!A21</x:f>
        <x:v>HLD-020</x:v>
      </x:c>
      <x:c r="F21" s="15" t="n">
        <x:f>COUNTIF('Gold_Standard'!$A$2:$A$101,E21)</x:f>
        <x:v>1</x:v>
      </x:c>
    </x:row>
    <x:row r="22">
      <x:c r="E22" s="15" t="str">
        <x:f>'Gold_Standard'!A22</x:f>
        <x:v>HLD-021</x:v>
      </x:c>
      <x:c r="F22" s="15" t="n">
        <x:f>COUNTIF('Gold_Standard'!$A$2:$A$101,E22)</x:f>
        <x:v>1</x:v>
      </x:c>
    </x:row>
    <x:row r="23">
      <x:c r="E23" s="15" t="str">
        <x:f>'Gold_Standard'!A23</x:f>
        <x:v>HLD-022</x:v>
      </x:c>
      <x:c r="F23" s="15" t="n">
        <x:f>COUNTIF('Gold_Standard'!$A$2:$A$101,E23)</x:f>
        <x:v>1</x:v>
      </x:c>
    </x:row>
    <x:row r="24">
      <x:c r="E24" s="15" t="str">
        <x:f>'Gold_Standard'!A24</x:f>
        <x:v>HLD-023</x:v>
      </x:c>
      <x:c r="F24" s="15" t="n">
        <x:f>COUNTIF('Gold_Standard'!$A$2:$A$101,E24)</x:f>
        <x:v>1</x:v>
      </x:c>
    </x:row>
    <x:row r="25">
      <x:c r="E25" s="15" t="str">
        <x:f>'Gold_Standard'!A25</x:f>
        <x:v>HLD-024</x:v>
      </x:c>
      <x:c r="F25" s="15" t="n">
        <x:f>COUNTIF('Gold_Standard'!$A$2:$A$101,E25)</x:f>
        <x:v>1</x:v>
      </x:c>
    </x:row>
    <x:row r="26">
      <x:c r="E26" s="15" t="str">
        <x:f>'Gold_Standard'!A26</x:f>
        <x:v>HLD-025</x:v>
      </x:c>
      <x:c r="F26" s="15" t="n">
        <x:f>COUNTIF('Gold_Standard'!$A$2:$A$101,E26)</x:f>
        <x:v>1</x:v>
      </x:c>
    </x:row>
    <x:row r="27">
      <x:c r="E27" s="15" t="str">
        <x:f>'Gold_Standard'!A27</x:f>
        <x:v>HLD-026</x:v>
      </x:c>
      <x:c r="F27" s="15" t="n">
        <x:f>COUNTIF('Gold_Standard'!$A$2:$A$101,E27)</x:f>
        <x:v>1</x:v>
      </x:c>
    </x:row>
    <x:row r="28">
      <x:c r="E28" s="15" t="str">
        <x:f>'Gold_Standard'!A28</x:f>
        <x:v>HLD-027</x:v>
      </x:c>
      <x:c r="F28" s="15" t="n">
        <x:f>COUNTIF('Gold_Standard'!$A$2:$A$101,E28)</x:f>
        <x:v>1</x:v>
      </x:c>
    </x:row>
    <x:row r="29">
      <x:c r="E29" s="15" t="str">
        <x:f>'Gold_Standard'!A29</x:f>
        <x:v>HLD-028</x:v>
      </x:c>
      <x:c r="F29" s="15" t="n">
        <x:f>COUNTIF('Gold_Standard'!$A$2:$A$101,E29)</x:f>
        <x:v>1</x:v>
      </x:c>
    </x:row>
    <x:row r="30">
      <x:c r="E30" s="15" t="str">
        <x:f>'Gold_Standard'!A30</x:f>
        <x:v>HLD-029</x:v>
      </x:c>
      <x:c r="F30" s="15" t="n">
        <x:f>COUNTIF('Gold_Standard'!$A$2:$A$101,E30)</x:f>
        <x:v>1</x:v>
      </x:c>
    </x:row>
    <x:row r="31">
      <x:c r="E31" s="15" t="str">
        <x:f>'Gold_Standard'!A31</x:f>
        <x:v>HLD-030</x:v>
      </x:c>
      <x:c r="F31" s="15" t="n">
        <x:f>COUNTIF('Gold_Standard'!$A$2:$A$101,E31)</x:f>
        <x:v>1</x:v>
      </x:c>
    </x:row>
    <x:row r="32">
      <x:c r="E32" s="15" t="str">
        <x:f>'Gold_Standard'!A32</x:f>
        <x:v>HLD-031</x:v>
      </x:c>
      <x:c r="F32" s="15" t="n">
        <x:f>COUNTIF('Gold_Standard'!$A$2:$A$101,E32)</x:f>
        <x:v>1</x:v>
      </x:c>
    </x:row>
    <x:row r="33">
      <x:c r="E33" s="15" t="str">
        <x:f>'Gold_Standard'!A33</x:f>
        <x:v>HLD-032</x:v>
      </x:c>
      <x:c r="F33" s="15" t="n">
        <x:f>COUNTIF('Gold_Standard'!$A$2:$A$101,E33)</x:f>
        <x:v>1</x:v>
      </x:c>
    </x:row>
    <x:row r="34">
      <x:c r="E34" s="15" t="str">
        <x:f>'Gold_Standard'!A34</x:f>
        <x:v>HLD-033</x:v>
      </x:c>
      <x:c r="F34" s="15" t="n">
        <x:f>COUNTIF('Gold_Standard'!$A$2:$A$101,E34)</x:f>
        <x:v>1</x:v>
      </x:c>
    </x:row>
    <x:row r="35">
      <x:c r="E35" s="15" t="str">
        <x:f>'Gold_Standard'!A35</x:f>
        <x:v>HLD-034</x:v>
      </x:c>
      <x:c r="F35" s="15" t="n">
        <x:f>COUNTIF('Gold_Standard'!$A$2:$A$101,E35)</x:f>
        <x:v>1</x:v>
      </x:c>
    </x:row>
    <x:row r="36">
      <x:c r="E36" s="15" t="str">
        <x:f>'Gold_Standard'!A36</x:f>
        <x:v>HLD-035</x:v>
      </x:c>
      <x:c r="F36" s="15" t="n">
        <x:f>COUNTIF('Gold_Standard'!$A$2:$A$101,E36)</x:f>
        <x:v>1</x:v>
      </x:c>
    </x:row>
    <x:row r="37">
      <x:c r="E37" s="15" t="str">
        <x:f>'Gold_Standard'!A37</x:f>
        <x:v>HLD-036</x:v>
      </x:c>
      <x:c r="F37" s="15" t="n">
        <x:f>COUNTIF('Gold_Standard'!$A$2:$A$101,E37)</x:f>
        <x:v>1</x:v>
      </x:c>
    </x:row>
    <x:row r="38">
      <x:c r="E38" s="15" t="str">
        <x:f>'Gold_Standard'!A38</x:f>
        <x:v>HLD-037</x:v>
      </x:c>
      <x:c r="F38" s="15" t="n">
        <x:f>COUNTIF('Gold_Standard'!$A$2:$A$101,E38)</x:f>
        <x:v>1</x:v>
      </x:c>
    </x:row>
    <x:row r="39">
      <x:c r="E39" s="15" t="str">
        <x:f>'Gold_Standard'!A39</x:f>
        <x:v>HLD-038</x:v>
      </x:c>
      <x:c r="F39" s="15" t="n">
        <x:f>COUNTIF('Gold_Standard'!$A$2:$A$101,E39)</x:f>
        <x:v>1</x:v>
      </x:c>
    </x:row>
    <x:row r="40">
      <x:c r="E40" s="15" t="str">
        <x:f>'Gold_Standard'!A40</x:f>
        <x:v>HLD-039</x:v>
      </x:c>
      <x:c r="F40" s="15" t="n">
        <x:f>COUNTIF('Gold_Standard'!$A$2:$A$101,E40)</x:f>
        <x:v>1</x:v>
      </x:c>
    </x:row>
    <x:row r="41">
      <x:c r="E41" s="15" t="str">
        <x:f>'Gold_Standard'!A41</x:f>
        <x:v>HLD-040</x:v>
      </x:c>
      <x:c r="F41" s="15" t="n">
        <x:f>COUNTIF('Gold_Standard'!$A$2:$A$101,E41)</x:f>
        <x:v>1</x:v>
      </x:c>
    </x:row>
    <x:row r="42">
      <x:c r="E42" s="15" t="str">
        <x:f>'Gold_Standard'!A42</x:f>
        <x:v>HLD-041</x:v>
      </x:c>
      <x:c r="F42" s="15" t="n">
        <x:f>COUNTIF('Gold_Standard'!$A$2:$A$101,E42)</x:f>
        <x:v>1</x:v>
      </x:c>
    </x:row>
    <x:row r="43">
      <x:c r="E43" s="15" t="str">
        <x:f>'Gold_Standard'!A43</x:f>
        <x:v>HLD-042</x:v>
      </x:c>
      <x:c r="F43" s="15" t="n">
        <x:f>COUNTIF('Gold_Standard'!$A$2:$A$101,E43)</x:f>
        <x:v>1</x:v>
      </x:c>
    </x:row>
    <x:row r="44">
      <x:c r="E44" s="15" t="str">
        <x:f>'Gold_Standard'!A44</x:f>
        <x:v>HLD-043</x:v>
      </x:c>
      <x:c r="F44" s="15" t="n">
        <x:f>COUNTIF('Gold_Standard'!$A$2:$A$101,E44)</x:f>
        <x:v>1</x:v>
      </x:c>
    </x:row>
    <x:row r="45">
      <x:c r="E45" s="15" t="str">
        <x:f>'Gold_Standard'!A45</x:f>
        <x:v>HLD-044</x:v>
      </x:c>
      <x:c r="F45" s="15" t="n">
        <x:f>COUNTIF('Gold_Standard'!$A$2:$A$101,E45)</x:f>
        <x:v>1</x:v>
      </x:c>
    </x:row>
    <x:row r="46">
      <x:c r="E46" s="15" t="str">
        <x:f>'Gold_Standard'!A46</x:f>
        <x:v>HLD-045</x:v>
      </x:c>
      <x:c r="F46" s="15" t="n">
        <x:f>COUNTIF('Gold_Standard'!$A$2:$A$101,E46)</x:f>
        <x:v>1</x:v>
      </x:c>
    </x:row>
    <x:row r="47">
      <x:c r="E47" s="15" t="str">
        <x:f>'Gold_Standard'!A47</x:f>
        <x:v>HLD-046</x:v>
      </x:c>
      <x:c r="F47" s="15" t="n">
        <x:f>COUNTIF('Gold_Standard'!$A$2:$A$101,E47)</x:f>
        <x:v>1</x:v>
      </x:c>
    </x:row>
    <x:row r="48">
      <x:c r="E48" s="15" t="str">
        <x:f>'Gold_Standard'!A48</x:f>
        <x:v>HLD-047</x:v>
      </x:c>
      <x:c r="F48" s="15" t="n">
        <x:f>COUNTIF('Gold_Standard'!$A$2:$A$101,E48)</x:f>
        <x:v>1</x:v>
      </x:c>
    </x:row>
    <x:row r="49">
      <x:c r="E49" s="15" t="str">
        <x:f>'Gold_Standard'!A49</x:f>
        <x:v>HLD-048</x:v>
      </x:c>
      <x:c r="F49" s="15" t="n">
        <x:f>COUNTIF('Gold_Standard'!$A$2:$A$101,E49)</x:f>
        <x:v>1</x:v>
      </x:c>
    </x:row>
    <x:row r="50">
      <x:c r="E50" s="15" t="str">
        <x:f>'Gold_Standard'!A50</x:f>
        <x:v>HLD-049</x:v>
      </x:c>
      <x:c r="F50" s="15" t="n">
        <x:f>COUNTIF('Gold_Standard'!$A$2:$A$101,E50)</x:f>
        <x:v>1</x:v>
      </x:c>
    </x:row>
    <x:row r="51">
      <x:c r="E51" s="15" t="str">
        <x:f>'Gold_Standard'!A51</x:f>
        <x:v>HLD-050</x:v>
      </x:c>
      <x:c r="F51" s="15" t="n">
        <x:f>COUNTIF('Gold_Standard'!$A$2:$A$101,E51)</x:f>
        <x:v>1</x:v>
      </x:c>
    </x:row>
    <x:row r="52">
      <x:c r="E52" s="15" t="str">
        <x:f>'Gold_Standard'!A52</x:f>
        <x:v>HLD-051</x:v>
      </x:c>
      <x:c r="F52" s="15" t="n">
        <x:f>COUNTIF('Gold_Standard'!$A$2:$A$101,E52)</x:f>
        <x:v>1</x:v>
      </x:c>
    </x:row>
    <x:row r="53">
      <x:c r="E53" s="15" t="str">
        <x:f>'Gold_Standard'!A53</x:f>
        <x:v>HLD-052</x:v>
      </x:c>
      <x:c r="F53" s="15" t="n">
        <x:f>COUNTIF('Gold_Standard'!$A$2:$A$101,E53)</x:f>
        <x:v>1</x:v>
      </x:c>
    </x:row>
    <x:row r="54">
      <x:c r="E54" s="15" t="str">
        <x:f>'Gold_Standard'!A54</x:f>
        <x:v>HLD-053</x:v>
      </x:c>
      <x:c r="F54" s="15" t="n">
        <x:f>COUNTIF('Gold_Standard'!$A$2:$A$101,E54)</x:f>
        <x:v>1</x:v>
      </x:c>
    </x:row>
    <x:row r="55">
      <x:c r="E55" s="15" t="str">
        <x:f>'Gold_Standard'!A55</x:f>
        <x:v>HLD-054</x:v>
      </x:c>
      <x:c r="F55" s="15" t="n">
        <x:f>COUNTIF('Gold_Standard'!$A$2:$A$101,E55)</x:f>
        <x:v>1</x:v>
      </x:c>
    </x:row>
    <x:row r="56">
      <x:c r="E56" s="15" t="str">
        <x:f>'Gold_Standard'!A56</x:f>
        <x:v>HLD-055</x:v>
      </x:c>
      <x:c r="F56" s="15" t="n">
        <x:f>COUNTIF('Gold_Standard'!$A$2:$A$101,E56)</x:f>
        <x:v>1</x:v>
      </x:c>
    </x:row>
    <x:row r="57">
      <x:c r="E57" s="15" t="str">
        <x:f>'Gold_Standard'!A57</x:f>
        <x:v>HLD-056</x:v>
      </x:c>
      <x:c r="F57" s="15" t="n">
        <x:f>COUNTIF('Gold_Standard'!$A$2:$A$101,E57)</x:f>
        <x:v>1</x:v>
      </x:c>
    </x:row>
    <x:row r="58">
      <x:c r="E58" s="15" t="str">
        <x:f>'Gold_Standard'!A58</x:f>
        <x:v>HLD-057</x:v>
      </x:c>
      <x:c r="F58" s="15" t="n">
        <x:f>COUNTIF('Gold_Standard'!$A$2:$A$101,E58)</x:f>
        <x:v>1</x:v>
      </x:c>
    </x:row>
    <x:row r="59">
      <x:c r="E59" s="15" t="str">
        <x:f>'Gold_Standard'!A59</x:f>
        <x:v>HLD-058</x:v>
      </x:c>
      <x:c r="F59" s="15" t="n">
        <x:f>COUNTIF('Gold_Standard'!$A$2:$A$101,E59)</x:f>
        <x:v>1</x:v>
      </x:c>
    </x:row>
    <x:row r="60">
      <x:c r="E60" s="15" t="str">
        <x:f>'Gold_Standard'!A60</x:f>
        <x:v>HLD-059</x:v>
      </x:c>
      <x:c r="F60" s="15" t="n">
        <x:f>COUNTIF('Gold_Standard'!$A$2:$A$101,E60)</x:f>
        <x:v>1</x:v>
      </x:c>
    </x:row>
    <x:row r="61">
      <x:c r="E61" s="15" t="str">
        <x:f>'Gold_Standard'!A61</x:f>
        <x:v>HLD-060</x:v>
      </x:c>
      <x:c r="F61" s="15" t="n">
        <x:f>COUNTIF('Gold_Standard'!$A$2:$A$101,E61)</x:f>
        <x:v>1</x:v>
      </x:c>
    </x:row>
    <x:row r="62">
      <x:c r="E62" s="15" t="str">
        <x:f>'Gold_Standard'!A62</x:f>
        <x:v>HLD-061</x:v>
      </x:c>
      <x:c r="F62" s="15" t="n">
        <x:f>COUNTIF('Gold_Standard'!$A$2:$A$101,E62)</x:f>
        <x:v>1</x:v>
      </x:c>
    </x:row>
    <x:row r="63">
      <x:c r="E63" s="15" t="str">
        <x:f>'Gold_Standard'!A63</x:f>
        <x:v>HLD-062</x:v>
      </x:c>
      <x:c r="F63" s="15" t="n">
        <x:f>COUNTIF('Gold_Standard'!$A$2:$A$101,E63)</x:f>
        <x:v>1</x:v>
      </x:c>
    </x:row>
    <x:row r="64">
      <x:c r="E64" s="15" t="str">
        <x:f>'Gold_Standard'!A64</x:f>
        <x:v>HLD-063</x:v>
      </x:c>
      <x:c r="F64" s="15" t="n">
        <x:f>COUNTIF('Gold_Standard'!$A$2:$A$101,E64)</x:f>
        <x:v>1</x:v>
      </x:c>
    </x:row>
    <x:row r="65">
      <x:c r="E65" s="15" t="str">
        <x:f>'Gold_Standard'!A65</x:f>
        <x:v>HLD-064</x:v>
      </x:c>
      <x:c r="F65" s="15" t="n">
        <x:f>COUNTIF('Gold_Standard'!$A$2:$A$101,E65)</x:f>
        <x:v>1</x:v>
      </x:c>
    </x:row>
    <x:row r="66">
      <x:c r="E66" s="15" t="str">
        <x:f>'Gold_Standard'!A66</x:f>
        <x:v>HLD-065</x:v>
      </x:c>
      <x:c r="F66" s="15" t="n">
        <x:f>COUNTIF('Gold_Standard'!$A$2:$A$101,E66)</x:f>
        <x:v>1</x:v>
      </x:c>
    </x:row>
    <x:row r="67">
      <x:c r="E67" s="15" t="str">
        <x:f>'Gold_Standard'!A67</x:f>
        <x:v>HLD-066</x:v>
      </x:c>
      <x:c r="F67" s="15" t="n">
        <x:f>COUNTIF('Gold_Standard'!$A$2:$A$101,E67)</x:f>
        <x:v>1</x:v>
      </x:c>
    </x:row>
    <x:row r="68">
      <x:c r="E68" s="15" t="str">
        <x:f>'Gold_Standard'!A68</x:f>
        <x:v>HLD-067</x:v>
      </x:c>
      <x:c r="F68" s="15" t="n">
        <x:f>COUNTIF('Gold_Standard'!$A$2:$A$101,E68)</x:f>
        <x:v>1</x:v>
      </x:c>
    </x:row>
    <x:row r="69">
      <x:c r="E69" s="15" t="str">
        <x:f>'Gold_Standard'!A69</x:f>
        <x:v>HLD-068</x:v>
      </x:c>
      <x:c r="F69" s="15" t="n">
        <x:f>COUNTIF('Gold_Standard'!$A$2:$A$101,E69)</x:f>
        <x:v>1</x:v>
      </x:c>
    </x:row>
    <x:row r="70">
      <x:c r="E70" s="15" t="str">
        <x:f>'Gold_Standard'!A70</x:f>
        <x:v>HLD-069</x:v>
      </x:c>
      <x:c r="F70" s="15" t="n">
        <x:f>COUNTIF('Gold_Standard'!$A$2:$A$101,E70)</x:f>
        <x:v>1</x:v>
      </x:c>
    </x:row>
    <x:row r="71">
      <x:c r="E71" s="15" t="str">
        <x:f>'Gold_Standard'!A71</x:f>
        <x:v>HLD-070</x:v>
      </x:c>
      <x:c r="F71" s="15" t="n">
        <x:f>COUNTIF('Gold_Standard'!$A$2:$A$101,E71)</x:f>
        <x:v>1</x:v>
      </x:c>
    </x:row>
    <x:row r="72">
      <x:c r="E72" s="15" t="str">
        <x:f>'Gold_Standard'!A72</x:f>
        <x:v>HLD-071</x:v>
      </x:c>
      <x:c r="F72" s="15" t="n">
        <x:f>COUNTIF('Gold_Standard'!$A$2:$A$101,E72)</x:f>
        <x:v>1</x:v>
      </x:c>
    </x:row>
    <x:row r="73">
      <x:c r="E73" s="15" t="str">
        <x:f>'Gold_Standard'!A73</x:f>
        <x:v>HLD-072</x:v>
      </x:c>
      <x:c r="F73" s="15" t="n">
        <x:f>COUNTIF('Gold_Standard'!$A$2:$A$101,E73)</x:f>
        <x:v>1</x:v>
      </x:c>
    </x:row>
    <x:row r="74">
      <x:c r="E74" s="15" t="str">
        <x:f>'Gold_Standard'!A74</x:f>
        <x:v>HLD-073</x:v>
      </x:c>
      <x:c r="F74" s="15" t="n">
        <x:f>COUNTIF('Gold_Standard'!$A$2:$A$101,E74)</x:f>
        <x:v>1</x:v>
      </x:c>
    </x:row>
    <x:row r="75">
      <x:c r="E75" s="15" t="str">
        <x:f>'Gold_Standard'!A75</x:f>
        <x:v>HLD-074</x:v>
      </x:c>
      <x:c r="F75" s="15" t="n">
        <x:f>COUNTIF('Gold_Standard'!$A$2:$A$101,E75)</x:f>
        <x:v>1</x:v>
      </x:c>
    </x:row>
    <x:row r="76">
      <x:c r="E76" s="15" t="str">
        <x:f>'Gold_Standard'!A76</x:f>
        <x:v>HLD-075</x:v>
      </x:c>
      <x:c r="F76" s="15" t="n">
        <x:f>COUNTIF('Gold_Standard'!$A$2:$A$101,E76)</x:f>
        <x:v>1</x:v>
      </x:c>
    </x:row>
    <x:row r="77">
      <x:c r="E77" s="15" t="str">
        <x:f>'Gold_Standard'!A77</x:f>
        <x:v>HLD-076</x:v>
      </x:c>
      <x:c r="F77" s="15" t="n">
        <x:f>COUNTIF('Gold_Standard'!$A$2:$A$101,E77)</x:f>
        <x:v>1</x:v>
      </x:c>
    </x:row>
    <x:row r="78">
      <x:c r="E78" s="15" t="str">
        <x:f>'Gold_Standard'!A78</x:f>
        <x:v>HLD-077</x:v>
      </x:c>
      <x:c r="F78" s="15" t="n">
        <x:f>COUNTIF('Gold_Standard'!$A$2:$A$101,E78)</x:f>
        <x:v>1</x:v>
      </x:c>
    </x:row>
    <x:row r="79">
      <x:c r="E79" s="15" t="str">
        <x:f>'Gold_Standard'!A79</x:f>
        <x:v>HLD-078</x:v>
      </x:c>
      <x:c r="F79" s="15" t="n">
        <x:f>COUNTIF('Gold_Standard'!$A$2:$A$101,E79)</x:f>
        <x:v>1</x:v>
      </x:c>
    </x:row>
    <x:row r="80">
      <x:c r="E80" s="15" t="str">
        <x:f>'Gold_Standard'!A80</x:f>
        <x:v>HLD-079</x:v>
      </x:c>
      <x:c r="F80" s="15" t="n">
        <x:f>COUNTIF('Gold_Standard'!$A$2:$A$101,E80)</x:f>
        <x:v>1</x:v>
      </x:c>
    </x:row>
    <x:row r="81">
      <x:c r="E81" s="15" t="str">
        <x:f>'Gold_Standard'!A81</x:f>
        <x:v>HLD-080</x:v>
      </x:c>
      <x:c r="F81" s="15" t="n">
        <x:f>COUNTIF('Gold_Standard'!$A$2:$A$101,E81)</x:f>
        <x:v>1</x:v>
      </x:c>
    </x:row>
    <x:row r="82">
      <x:c r="E82" s="15" t="str">
        <x:f>'Gold_Standard'!A82</x:f>
        <x:v>HLD-081</x:v>
      </x:c>
      <x:c r="F82" s="15" t="n">
        <x:f>COUNTIF('Gold_Standard'!$A$2:$A$101,E82)</x:f>
        <x:v>1</x:v>
      </x:c>
    </x:row>
    <x:row r="83">
      <x:c r="E83" s="15" t="str">
        <x:f>'Gold_Standard'!A83</x:f>
        <x:v>HLD-082</x:v>
      </x:c>
      <x:c r="F83" s="15" t="n">
        <x:f>COUNTIF('Gold_Standard'!$A$2:$A$101,E83)</x:f>
        <x:v>1</x:v>
      </x:c>
    </x:row>
    <x:row r="84">
      <x:c r="E84" s="15" t="str">
        <x:f>'Gold_Standard'!A84</x:f>
        <x:v>HLD-083</x:v>
      </x:c>
      <x:c r="F84" s="15" t="n">
        <x:f>COUNTIF('Gold_Standard'!$A$2:$A$101,E84)</x:f>
        <x:v>1</x:v>
      </x:c>
    </x:row>
    <x:row r="85">
      <x:c r="E85" s="15" t="str">
        <x:f>'Gold_Standard'!A85</x:f>
        <x:v>HLD-084</x:v>
      </x:c>
      <x:c r="F85" s="15" t="n">
        <x:f>COUNTIF('Gold_Standard'!$A$2:$A$101,E85)</x:f>
        <x:v>1</x:v>
      </x:c>
    </x:row>
    <x:row r="86">
      <x:c r="E86" s="15" t="str">
        <x:f>'Gold_Standard'!A86</x:f>
        <x:v>HLD-085</x:v>
      </x:c>
      <x:c r="F86" s="15" t="n">
        <x:f>COUNTIF('Gold_Standard'!$A$2:$A$101,E86)</x:f>
        <x:v>1</x:v>
      </x:c>
    </x:row>
    <x:row r="87">
      <x:c r="E87" s="15" t="str">
        <x:f>'Gold_Standard'!A87</x:f>
        <x:v>HLD-086</x:v>
      </x:c>
      <x:c r="F87" s="15" t="n">
        <x:f>COUNTIF('Gold_Standard'!$A$2:$A$101,E87)</x:f>
        <x:v>1</x:v>
      </x:c>
    </x:row>
    <x:row r="88">
      <x:c r="E88" s="15" t="str">
        <x:f>'Gold_Standard'!A88</x:f>
        <x:v>HLD-087</x:v>
      </x:c>
      <x:c r="F88" s="15" t="n">
        <x:f>COUNTIF('Gold_Standard'!$A$2:$A$101,E88)</x:f>
        <x:v>1</x:v>
      </x:c>
    </x:row>
    <x:row r="89">
      <x:c r="E89" s="15" t="str">
        <x:f>'Gold_Standard'!A89</x:f>
        <x:v>HLD-088</x:v>
      </x:c>
      <x:c r="F89" s="15" t="n">
        <x:f>COUNTIF('Gold_Standard'!$A$2:$A$101,E89)</x:f>
        <x:v>1</x:v>
      </x:c>
    </x:row>
    <x:row r="90">
      <x:c r="E90" s="15" t="str">
        <x:f>'Gold_Standard'!A90</x:f>
        <x:v>HLD-089</x:v>
      </x:c>
      <x:c r="F90" s="15" t="n">
        <x:f>COUNTIF('Gold_Standard'!$A$2:$A$101,E90)</x:f>
        <x:v>1</x:v>
      </x:c>
    </x:row>
    <x:row r="91">
      <x:c r="E91" s="15" t="str">
        <x:f>'Gold_Standard'!A91</x:f>
        <x:v>HLD-090</x:v>
      </x:c>
      <x:c r="F91" s="15" t="n">
        <x:f>COUNTIF('Gold_Standard'!$A$2:$A$101,E91)</x:f>
        <x:v>1</x:v>
      </x:c>
    </x:row>
    <x:row r="92">
      <x:c r="E92" s="15" t="str">
        <x:f>'Gold_Standard'!A92</x:f>
        <x:v>HLD-091</x:v>
      </x:c>
      <x:c r="F92" s="15" t="n">
        <x:f>COUNTIF('Gold_Standard'!$A$2:$A$101,E92)</x:f>
        <x:v>1</x:v>
      </x:c>
    </x:row>
    <x:row r="93">
      <x:c r="E93" s="15" t="str">
        <x:f>'Gold_Standard'!A93</x:f>
        <x:v>HLD-092</x:v>
      </x:c>
      <x:c r="F93" s="15" t="n">
        <x:f>COUNTIF('Gold_Standard'!$A$2:$A$101,E93)</x:f>
        <x:v>1</x:v>
      </x:c>
    </x:row>
    <x:row r="94">
      <x:c r="E94" s="15" t="str">
        <x:f>'Gold_Standard'!A94</x:f>
        <x:v>HLD-093</x:v>
      </x:c>
      <x:c r="F94" s="15" t="n">
        <x:f>COUNTIF('Gold_Standard'!$A$2:$A$101,E94)</x:f>
        <x:v>1</x:v>
      </x:c>
    </x:row>
    <x:row r="95">
      <x:c r="E95" s="15" t="str">
        <x:f>'Gold_Standard'!A95</x:f>
        <x:v>HLD-094</x:v>
      </x:c>
      <x:c r="F95" s="15" t="n">
        <x:f>COUNTIF('Gold_Standard'!$A$2:$A$101,E95)</x:f>
        <x:v>1</x:v>
      </x:c>
    </x:row>
    <x:row r="96">
      <x:c r="E96" s="15" t="str">
        <x:f>'Gold_Standard'!A96</x:f>
        <x:v>HLD-095</x:v>
      </x:c>
      <x:c r="F96" s="15" t="n">
        <x:f>COUNTIF('Gold_Standard'!$A$2:$A$101,E96)</x:f>
        <x:v>1</x:v>
      </x:c>
    </x:row>
    <x:row r="97">
      <x:c r="E97" s="15" t="str">
        <x:f>'Gold_Standard'!A97</x:f>
        <x:v>HLD-096</x:v>
      </x:c>
      <x:c r="F97" s="15" t="n">
        <x:f>COUNTIF('Gold_Standard'!$A$2:$A$101,E97)</x:f>
        <x:v>1</x:v>
      </x:c>
    </x:row>
    <x:row r="98">
      <x:c r="E98" s="15" t="str">
        <x:f>'Gold_Standard'!A98</x:f>
        <x:v>HLD-097</x:v>
      </x:c>
      <x:c r="F98" s="15" t="n">
        <x:f>COUNTIF('Gold_Standard'!$A$2:$A$101,E98)</x:f>
        <x:v>1</x:v>
      </x:c>
    </x:row>
    <x:row r="99">
      <x:c r="E99" s="15" t="str">
        <x:f>'Gold_Standard'!A99</x:f>
        <x:v>HLD-098</x:v>
      </x:c>
      <x:c r="F99" s="15" t="n">
        <x:f>COUNTIF('Gold_Standard'!$A$2:$A$101,E99)</x:f>
        <x:v>1</x:v>
      </x:c>
    </x:row>
    <x:row r="100">
      <x:c r="E100" s="15" t="str">
        <x:f>'Gold_Standard'!A100</x:f>
        <x:v>HLD-099</x:v>
      </x:c>
      <x:c r="F100" s="15" t="n">
        <x:f>COUNTIF('Gold_Standard'!$A$2:$A$101,E100)</x:f>
        <x:v>1</x:v>
      </x:c>
    </x:row>
    <x:row r="101">
      <x:c r="E101" s="16" t="str">
        <x:f>'Gold_Standard'!A101</x:f>
        <x:v>HLD-100</x:v>
      </x:c>
      <x:c r="F101" s="16" t="n">
        <x:f>COUNTIF('Gold_Standard'!$A$2:$A$101,E101)</x:f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20" hidden="0" customWidth="1"/>
    <x:col min="4" max="4" width="20" hidden="0" customWidth="1"/>
  </x:cols>
  <x:sheetData>
    <x:row r="1">
      <x:c r="A1" s="54" t="str">
        <x:v>field</x:v>
      </x:c>
      <x:c r="B1" s="55" t="str">
        <x:v>label</x:v>
      </x:c>
      <x:c r="C1" s="55" t="str">
        <x:v>count</x:v>
      </x:c>
      <x:c r="D1" s="56" t="str">
        <x:v>proportion</x:v>
      </x:c>
    </x:row>
    <x:row r="2">
      <x:c r="A2" s="15" t="str">
        <x:v>task_type</x:v>
      </x:c>
      <x:c r="B2" s="15" t="str">
        <x:v>CommunicationRelay</x:v>
      </x:c>
      <x:c r="C2" s="15" t="n">
        <x:f>COUNTIF('Gold_Standard'!C$2:C$101,B2)</x:f>
        <x:v>11</x:v>
      </x:c>
      <x:c r="D2" s="57" t="n">
        <x:f>C2/100</x:f>
        <x:v>0.11</x:v>
      </x:c>
    </x:row>
    <x:row r="3">
      <x:c r="A3" s="15" t="str">
        <x:v>task_type</x:v>
      </x:c>
      <x:c r="B3" s="15" t="str">
        <x:v>EvacuationSupport</x:v>
      </x:c>
      <x:c r="C3" s="15" t="n">
        <x:f>COUNTIF('Gold_Standard'!C$2:C$101,B3)</x:f>
        <x:v>8</x:v>
      </x:c>
      <x:c r="D3" s="57" t="n">
        <x:f>C3/100</x:f>
        <x:v>0.08</x:v>
      </x:c>
    </x:row>
    <x:row r="4">
      <x:c r="A4" s="15" t="str">
        <x:v>task_type</x:v>
      </x:c>
      <x:c r="B4" s="15" t="str">
        <x:v>FireRecon</x:v>
      </x:c>
      <x:c r="C4" s="15" t="n">
        <x:f>COUNTIF('Gold_Standard'!C$2:C$101,B4)</x:f>
        <x:v>11</x:v>
      </x:c>
      <x:c r="D4" s="57" t="n">
        <x:f>C4/100</x:f>
        <x:v>0.11</x:v>
      </x:c>
    </x:row>
    <x:row r="5">
      <x:c r="A5" s="15" t="str">
        <x:v>task_type</x:v>
      </x:c>
      <x:c r="B5" s="15" t="str">
        <x:v>HazmatMonitoring</x:v>
      </x:c>
      <x:c r="C5" s="15" t="n">
        <x:f>COUNTIF('Gold_Standard'!C$2:C$101,B5)</x:f>
        <x:v>8</x:v>
      </x:c>
      <x:c r="D5" s="57" t="n">
        <x:f>C5/100</x:f>
        <x:v>0.08</x:v>
      </x:c>
    </x:row>
    <x:row r="6">
      <x:c r="A6" s="15" t="str">
        <x:v>task_type</x:v>
      </x:c>
      <x:c r="B6" s="15" t="str">
        <x:v>InfrastructureInspection</x:v>
      </x:c>
      <x:c r="C6" s="15" t="n">
        <x:f>COUNTIF('Gold_Standard'!C$2:C$101,B6)</x:f>
        <x:v>12</x:v>
      </x:c>
      <x:c r="D6" s="57" t="n">
        <x:f>C6/100</x:f>
        <x:v>0.12</x:v>
      </x:c>
    </x:row>
    <x:row r="7">
      <x:c r="A7" s="15" t="str">
        <x:v>task_type</x:v>
      </x:c>
      <x:c r="B7" s="15" t="str">
        <x:v>MedicalDelivery</x:v>
      </x:c>
      <x:c r="C7" s="15" t="n">
        <x:f>COUNTIF('Gold_Standard'!C$2:C$101,B7)</x:f>
        <x:v>9</x:v>
      </x:c>
      <x:c r="D7" s="57" t="n">
        <x:f>C7/100</x:f>
        <x:v>0.09</x:v>
      </x:c>
    </x:row>
    <x:row r="8">
      <x:c r="A8" s="15" t="str">
        <x:v>task_type</x:v>
      </x:c>
      <x:c r="B8" s="15" t="str">
        <x:v>Other</x:v>
      </x:c>
      <x:c r="C8" s="15" t="n">
        <x:f>COUNTIF('Gold_Standard'!C$2:C$101,B8)</x:f>
        <x:v>1</x:v>
      </x:c>
      <x:c r="D8" s="57" t="n">
        <x:f>C8/100</x:f>
        <x:v>0.01</x:v>
      </x:c>
    </x:row>
    <x:row r="9">
      <x:c r="A9" s="15" t="str">
        <x:v>task_type</x:v>
      </x:c>
      <x:c r="B9" s="15" t="str">
        <x:v>PriorityPreemption</x:v>
      </x:c>
      <x:c r="C9" s="15" t="n">
        <x:f>COUNTIF('Gold_Standard'!C$2:C$101,B9)</x:f>
        <x:v>2</x:v>
      </x:c>
      <x:c r="D9" s="57" t="n">
        <x:f>C9/100</x:f>
        <x:v>0.02</x:v>
      </x:c>
    </x:row>
    <x:row r="10">
      <x:c r="A10" s="15" t="str">
        <x:v>task_type</x:v>
      </x:c>
      <x:c r="B10" s="15" t="str">
        <x:v>RouteReplan</x:v>
      </x:c>
      <x:c r="C10" s="15" t="n">
        <x:f>COUNTIF('Gold_Standard'!C$2:C$101,B10)</x:f>
        <x:v>6</x:v>
      </x:c>
      <x:c r="D10" s="57" t="n">
        <x:f>C10/100</x:f>
        <x:v>0.06</x:v>
      </x:c>
    </x:row>
    <x:row r="11">
      <x:c r="A11" s="15" t="str">
        <x:v>task_type</x:v>
      </x:c>
      <x:c r="B11" s="15" t="str">
        <x:v>SearchAndRescue</x:v>
      </x:c>
      <x:c r="C11" s="15" t="n">
        <x:f>COUNTIF('Gold_Standard'!C$2:C$101,B11)</x:f>
        <x:v>20</x:v>
      </x:c>
      <x:c r="D11" s="57" t="n">
        <x:f>C11/100</x:f>
        <x:v>0.2</x:v>
      </x:c>
    </x:row>
    <x:row r="12">
      <x:c r="A12" s="15" t="str">
        <x:v>task_type</x:v>
      </x:c>
      <x:c r="B12" s="15" t="str">
        <x:v>SupplyDelivery</x:v>
      </x:c>
      <x:c r="C12" s="15" t="n">
        <x:f>COUNTIF('Gold_Standard'!C$2:C$101,B12)</x:f>
        <x:v>6</x:v>
      </x:c>
      <x:c r="D12" s="57" t="n">
        <x:f>C12/100</x:f>
        <x:v>0.06</x:v>
      </x:c>
    </x:row>
    <x:row r="13">
      <x:c r="A13" s="15" t="str">
        <x:v>task_type</x:v>
      </x:c>
      <x:c r="B13" s="15" t="str">
        <x:v>TrafficMonitoring</x:v>
      </x:c>
      <x:c r="C13" s="15" t="n">
        <x:f>COUNTIF('Gold_Standard'!C$2:C$101,B13)</x:f>
        <x:v>6</x:v>
      </x:c>
      <x:c r="D13" s="57" t="n">
        <x:f>C13/100</x:f>
        <x:v>0.06</x:v>
      </x:c>
    </x:row>
    <x:row r="14">
      <x:c r="A14" s="15" t="str">
        <x:v>target_zone</x:v>
      </x:c>
      <x:c r="B14" s="15" t="str">
        <x:v>Unspecified</x:v>
      </x:c>
      <x:c r="C14" s="15" t="n">
        <x:f>COUNTIF('Gold_Standard'!D$2:D$101,B14)</x:f>
        <x:v>2</x:v>
      </x:c>
      <x:c r="D14" s="57" t="n">
        <x:f>C14/100</x:f>
        <x:v>0.02</x:v>
      </x:c>
    </x:row>
    <x:row r="15">
      <x:c r="A15" s="15" t="str">
        <x:v>target_zone</x:v>
      </x:c>
      <x:c r="B15" s="15" t="str">
        <x:v>七号到十一号塔之间</x:v>
      </x:c>
      <x:c r="C15" s="15" t="n">
        <x:f>COUNTIF('Gold_Standard'!D$2:D$101,B15)</x:f>
        <x:v>1</x:v>
      </x:c>
      <x:c r="D15" s="57" t="n">
        <x:f>C15/100</x:f>
        <x:v>0.01</x:v>
      </x:c>
    </x:row>
    <x:row r="16">
      <x:c r="A16" s="15" t="str">
        <x:v>target_zone</x:v>
      </x:c>
      <x:c r="B16" s="15" t="str">
        <x:v>三岔口那片儿</x:v>
      </x:c>
      <x:c r="C16" s="15" t="n">
        <x:f>COUNTIF('Gold_Standard'!D$2:D$101,B16)</x:f>
        <x:v>1</x:v>
      </x:c>
      <x:c r="D16" s="57" t="n">
        <x:f>C16/100</x:f>
        <x:v>0.01</x:v>
      </x:c>
    </x:row>
    <x:row r="17">
      <x:c r="A17" s="15" t="str">
        <x:v>target_zone</x:v>
      </x:c>
      <x:c r="B17" s="15" t="str">
        <x:v>上游岔谷</x:v>
      </x:c>
      <x:c r="C17" s="15" t="n">
        <x:f>COUNTIF('Gold_Standard'!D$2:D$101,B17)</x:f>
        <x:v>1</x:v>
      </x:c>
      <x:c r="D17" s="57" t="n">
        <x:f>C17/100</x:f>
        <x:v>0.01</x:v>
      </x:c>
    </x:row>
    <x:row r="18">
      <x:c r="A18" s="15" t="str">
        <x:v>target_zone</x:v>
      </x:c>
      <x:c r="B18" s="15" t="str">
        <x:v>下游坝面</x:v>
      </x:c>
      <x:c r="C18" s="15" t="n">
        <x:f>COUNTIF('Gold_Standard'!D$2:D$101,B18)</x:f>
        <x:v>1</x:v>
      </x:c>
      <x:c r="D18" s="57" t="n">
        <x:f>C18/100</x:f>
        <x:v>0.01</x:v>
      </x:c>
    </x:row>
    <x:row r="19">
      <x:c r="A19" s="15" t="str">
        <x:v>target_zone</x:v>
      </x:c>
      <x:c r="B19" s="15" t="str">
        <x:v>东侧上空</x:v>
      </x:c>
      <x:c r="C19" s="15" t="n">
        <x:f>COUNTIF('Gold_Standard'!D$2:D$101,B19)</x:f>
        <x:v>1</x:v>
      </x:c>
      <x:c r="D19" s="57" t="n">
        <x:f>C19/100</x:f>
        <x:v>0.01</x:v>
      </x:c>
    </x:row>
    <x:row r="20">
      <x:c r="A20" s="15" t="str">
        <x:v>target_zone</x:v>
      </x:c>
      <x:c r="B20" s="15" t="str">
        <x:v>东侧隔离带</x:v>
      </x:c>
      <x:c r="C20" s="15" t="n">
        <x:f>COUNTIF('Gold_Standard'!D$2:D$101,B20)</x:f>
        <x:v>1</x:v>
      </x:c>
      <x:c r="D20" s="57" t="n">
        <x:f>C20/100</x:f>
        <x:v>0.01</x:v>
      </x:c>
    </x:row>
    <x:row r="21">
      <x:c r="A21" s="15" t="str">
        <x:v>target_zone</x:v>
      </x:c>
      <x:c r="B21" s="15" t="str">
        <x:v>东单元那栋</x:v>
      </x:c>
      <x:c r="C21" s="15" t="n">
        <x:f>COUNTIF('Gold_Standard'!D$2:D$101,B21)</x:f>
        <x:v>1</x:v>
      </x:c>
      <x:c r="D21" s="57" t="n">
        <x:f>C21/100</x:f>
        <x:v>0.01</x:v>
      </x:c>
    </x:row>
    <x:row r="22">
      <x:c r="A22" s="15" t="str">
        <x:v>target_zone</x:v>
      </x:c>
      <x:c r="B22" s="15" t="str">
        <x:v>东南沟谷那股白烟</x:v>
      </x:c>
      <x:c r="C22" s="15" t="n">
        <x:f>COUNTIF('Gold_Standard'!D$2:D$101,B22)</x:f>
        <x:v>1</x:v>
      </x:c>
      <x:c r="D22" s="57" t="n">
        <x:f>C22/100</x:f>
        <x:v>0.01</x:v>
      </x:c>
    </x:row>
    <x:row r="23">
      <x:c r="A23" s="15" t="str">
        <x:v>target_zone</x:v>
      </x:c>
      <x:c r="B23" s="15" t="str">
        <x:v>东门上空</x:v>
      </x:c>
      <x:c r="C23" s="15" t="n">
        <x:f>COUNTIF('Gold_Standard'!D$2:D$101,B23)</x:f>
        <x:v>1</x:v>
      </x:c>
      <x:c r="D23" s="57" t="n">
        <x:f>C23/100</x:f>
        <x:v>0.01</x:v>
      </x:c>
    </x:row>
    <x:row r="24">
      <x:c r="A24" s="15" t="str">
        <x:v>target_zone</x:v>
      </x:c>
      <x:c r="B24" s="15" t="str">
        <x:v>中心广场两个出口</x:v>
      </x:c>
      <x:c r="C24" s="15" t="n">
        <x:f>COUNTIF('Gold_Standard'!D$2:D$101,B24)</x:f>
        <x:v>1</x:v>
      </x:c>
      <x:c r="D24" s="57" t="n">
        <x:f>C24/100</x:f>
        <x:v>0.01</x:v>
      </x:c>
    </x:row>
    <x:row r="25">
      <x:c r="A25" s="15" t="str">
        <x:v>target_zone</x:v>
      </x:c>
      <x:c r="B25" s="15" t="str">
        <x:v>乡镇卫生院院子晒场</x:v>
      </x:c>
      <x:c r="C25" s="15" t="n">
        <x:f>COUNTIF('Gold_Standard'!D$2:D$101,B25)</x:f>
        <x:v>1</x:v>
      </x:c>
      <x:c r="D25" s="57" t="n">
        <x:f>C25/100</x:f>
        <x:v>0.01</x:v>
      </x:c>
    </x:row>
    <x:row r="26">
      <x:c r="A26" s="15" t="str">
        <x:v>target_zone</x:v>
      </x:c>
      <x:c r="B26" s="15" t="str">
        <x:v>事故点和应急车道</x:v>
      </x:c>
      <x:c r="C26" s="15" t="n">
        <x:f>COUNTIF('Gold_Standard'!D$2:D$101,B26)</x:f>
        <x:v>1</x:v>
      </x:c>
      <x:c r="D26" s="57" t="n">
        <x:f>C26/100</x:f>
        <x:v>0.01</x:v>
      </x:c>
    </x:row>
    <x:row r="27">
      <x:c r="A27" s="15" t="str">
        <x:v>target_zone</x:v>
      </x:c>
      <x:c r="B27" s="15" t="str">
        <x:v>云台岭北麓最后打卡点</x:v>
      </x:c>
      <x:c r="C27" s="15" t="n">
        <x:f>COUNTIF('Gold_Standard'!D$2:D$101,B27)</x:f>
        <x:v>1</x:v>
      </x:c>
      <x:c r="D27" s="57" t="n">
        <x:f>C27/100</x:f>
        <x:v>0.01</x:v>
      </x:c>
    </x:row>
    <x:row r="28">
      <x:c r="A28" s="15" t="str">
        <x:v>target_zone</x:v>
      </x:c>
      <x:c r="B28" s="15" t="str">
        <x:v>仓库到山脚那片烟雾区</x:v>
      </x:c>
      <x:c r="C28" s="15" t="n">
        <x:f>COUNTIF('Gold_Standard'!D$2:D$101,B28)</x:f>
        <x:v>1</x:v>
      </x:c>
      <x:c r="D28" s="57" t="n">
        <x:f>C28/100</x:f>
        <x:v>0.01</x:v>
      </x:c>
    </x:row>
    <x:row r="29">
      <x:c r="A29" s="15" t="str">
        <x:v>target_zone</x:v>
      </x:c>
      <x:c r="B29" s="15" t="str">
        <x:v>低处背风位置</x:v>
      </x:c>
      <x:c r="C29" s="15" t="n">
        <x:f>COUNTIF('Gold_Standard'!D$2:D$101,B29)</x:f>
        <x:v>1</x:v>
      </x:c>
      <x:c r="D29" s="57" t="n">
        <x:f>C29/100</x:f>
        <x:v>0.01</x:v>
      </x:c>
    </x:row>
    <x:row r="30">
      <x:c r="A30" s="15" t="str">
        <x:v>target_zone</x:v>
      </x:c>
      <x:c r="B30" s="15" t="str">
        <x:v>体育场安置区入口</x:v>
      </x:c>
      <x:c r="C30" s="15" t="n">
        <x:f>COUNTIF('Gold_Standard'!D$2:D$101,B30)</x:f>
        <x:v>1</x:v>
      </x:c>
      <x:c r="D30" s="57" t="n">
        <x:f>C30/100</x:f>
        <x:v>0.01</x:v>
      </x:c>
    </x:row>
    <x:row r="31">
      <x:c r="A31" s="15" t="str">
        <x:v>target_zone</x:v>
      </x:c>
      <x:c r="B31" s="15" t="str">
        <x:v>体育馆馆前空地</x:v>
      </x:c>
      <x:c r="C31" s="15" t="n">
        <x:f>COUNTIF('Gold_Standard'!D$2:D$101,B31)</x:f>
        <x:v>1</x:v>
      </x:c>
      <x:c r="D31" s="57" t="n">
        <x:f>C31/100</x:f>
        <x:v>0.01</x:v>
      </x:c>
    </x:row>
    <x:row r="32">
      <x:c r="A32" s="15" t="str">
        <x:v>target_zone</x:v>
      </x:c>
      <x:c r="B32" s="15" t="str">
        <x:v>俩候选空地</x:v>
      </x:c>
      <x:c r="C32" s="15" t="n">
        <x:f>COUNTIF('Gold_Standard'!D$2:D$101,B32)</x:f>
        <x:v>1</x:v>
      </x:c>
      <x:c r="D32" s="57" t="n">
        <x:f>C32/100</x:f>
        <x:v>0.01</x:v>
      </x:c>
    </x:row>
    <x:row r="33">
      <x:c r="A33" s="15" t="str">
        <x:v>target_zone</x:v>
      </x:c>
      <x:c r="B33" s="15" t="str">
        <x:v>俩阀室之间那段管线</x:v>
      </x:c>
      <x:c r="C33" s="15" t="n">
        <x:f>COUNTIF('Gold_Standard'!D$2:D$101,B33)</x:f>
        <x:v>1</x:v>
      </x:c>
      <x:c r="D33" s="57" t="n">
        <x:f>C33/100</x:f>
        <x:v>0.01</x:v>
      </x:c>
    </x:row>
    <x:row r="34">
      <x:c r="A34" s="15" t="str">
        <x:v>target_zone</x:v>
      </x:c>
      <x:c r="B34" s="15" t="str">
        <x:v>倒下那段隔音屏</x:v>
      </x:c>
      <x:c r="C34" s="15" t="n">
        <x:f>COUNTIF('Gold_Standard'!D$2:D$101,B34)</x:f>
        <x:v>1</x:v>
      </x:c>
      <x:c r="D34" s="57" t="n">
        <x:f>C34/100</x:f>
        <x:v>0.01</x:v>
      </x:c>
    </x:row>
    <x:row r="35">
      <x:c r="A35" s="15" t="str">
        <x:v>target_zone</x:v>
      </x:c>
      <x:c r="B35" s="15" t="str">
        <x:v>停运区间两处通风井</x:v>
      </x:c>
      <x:c r="C35" s="15" t="n">
        <x:f>COUNTIF('Gold_Standard'!D$2:D$101,B35)</x:f>
        <x:v>1</x:v>
      </x:c>
      <x:c r="D35" s="57" t="n">
        <x:f>C35/100</x:f>
        <x:v>0.01</x:v>
      </x:c>
    </x:row>
    <x:row r="36">
      <x:c r="A36" s="15" t="str">
        <x:v>target_zone</x:v>
      </x:c>
      <x:c r="B36" s="15" t="str">
        <x:v>养老院楼顶平台</x:v>
      </x:c>
      <x:c r="C36" s="15" t="n">
        <x:f>COUNTIF('Gold_Standard'!D$2:D$101,B36)</x:f>
        <x:v>1</x:v>
      </x:c>
      <x:c r="D36" s="57" t="n">
        <x:f>C36/100</x:f>
        <x:v>0.01</x:v>
      </x:c>
    </x:row>
    <x:row r="37">
      <x:c r="A37" s="15" t="str">
        <x:v>target_zone</x:v>
      </x:c>
      <x:c r="B37" s="15" t="str">
        <x:v>北仓库方向外围</x:v>
      </x:c>
      <x:c r="C37" s="15" t="n">
        <x:f>COUNTIF('Gold_Standard'!D$2:D$101,B37)</x:f>
        <x:v>1</x:v>
      </x:c>
      <x:c r="D37" s="57" t="n">
        <x:f>C37/100</x:f>
        <x:v>0.01</x:v>
      </x:c>
    </x:row>
    <x:row r="38">
      <x:c r="A38" s="15" t="str">
        <x:v>target_zone</x:v>
      </x:c>
      <x:c r="B38" s="15" t="str">
        <x:v>北侧那团雾</x:v>
      </x:c>
      <x:c r="C38" s="15" t="n">
        <x:f>COUNTIF('Gold_Standard'!D$2:D$101,B38)</x:f>
        <x:v>1</x:v>
      </x:c>
      <x:c r="D38" s="57" t="n">
        <x:f>C38/100</x:f>
        <x:v>0.01</x:v>
      </x:c>
    </x:row>
    <x:row r="39">
      <x:c r="A39" s="15" t="str">
        <x:v>target_zone</x:v>
      </x:c>
      <x:c r="B39" s="15" t="str">
        <x:v>北向俩横通道口</x:v>
      </x:c>
      <x:c r="C39" s="15" t="n">
        <x:f>COUNTIF('Gold_Standard'!D$2:D$101,B39)</x:f>
        <x:v>1</x:v>
      </x:c>
      <x:c r="D39" s="57" t="n">
        <x:f>C39/100</x:f>
        <x:v>0.01</x:v>
      </x:c>
    </x:row>
    <x:row r="40">
      <x:c r="A40" s="15" t="str">
        <x:v>target_zone</x:v>
      </x:c>
      <x:c r="B40" s="15" t="str">
        <x:v>北坡滑坡区旧矿道</x:v>
      </x:c>
      <x:c r="C40" s="15" t="n">
        <x:f>COUNTIF('Gold_Standard'!D$2:D$101,B40)</x:f>
        <x:v>1</x:v>
      </x:c>
      <x:c r="D40" s="57" t="n">
        <x:f>C40/100</x:f>
        <x:v>0.01</x:v>
      </x:c>
    </x:row>
    <x:row r="41">
      <x:c r="A41" s="15" t="str">
        <x:v>target_zone</x:v>
      </x:c>
      <x:c r="B41" s="15" t="str">
        <x:v>北段那个弯头</x:v>
      </x:c>
      <x:c r="C41" s="15" t="n">
        <x:f>COUNTIF('Gold_Standard'!D$2:D$101,B41)</x:f>
        <x:v>1</x:v>
      </x:c>
      <x:c r="D41" s="57" t="n">
        <x:f>C41/100</x:f>
        <x:v>0.01</x:v>
      </x:c>
    </x:row>
    <x:row r="42">
      <x:c r="A42" s="15" t="str">
        <x:v>target_zone</x:v>
      </x:c>
      <x:c r="B42" s="15" t="str">
        <x:v>医务帐篷边上的空地</x:v>
      </x:c>
      <x:c r="C42" s="15" t="n">
        <x:f>COUNTIF('Gold_Standard'!D$2:D$101,B42)</x:f>
        <x:v>1</x:v>
      </x:c>
      <x:c r="D42" s="57" t="n">
        <x:f>C42/100</x:f>
        <x:v>0.01</x:v>
      </x:c>
    </x:row>
    <x:row r="43">
      <x:c r="A43" s="15" t="str">
        <x:v>target_zone</x:v>
      </x:c>
      <x:c r="B43" s="15" t="str">
        <x:v>医务站</x:v>
      </x:c>
      <x:c r="C43" s="15" t="n">
        <x:f>COUNTIF('Gold_Standard'!D$2:D$101,B43)</x:f>
        <x:v>1</x:v>
      </x:c>
      <x:c r="D43" s="57" t="n">
        <x:f>C43/100</x:f>
        <x:v>0.01</x:v>
      </x:c>
    </x:row>
    <x:row r="44">
      <x:c r="A44" s="15" t="str">
        <x:v>target_zone</x:v>
      </x:c>
      <x:c r="B44" s="15" t="str">
        <x:v>医疗队新营地</x:v>
      </x:c>
      <x:c r="C44" s="15" t="n">
        <x:f>COUNTIF('Gold_Standard'!D$2:D$101,B44)</x:f>
        <x:v>1</x:v>
      </x:c>
      <x:c r="D44" s="57" t="n">
        <x:f>C44/100</x:f>
        <x:v>0.01</x:v>
      </x:c>
    </x:row>
    <x:row r="45">
      <x:c r="A45" s="15" t="str">
        <x:v>target_zone</x:v>
      </x:c>
      <x:c r="B45" s="15" t="str">
        <x:v>南坡那三户</x:v>
      </x:c>
      <x:c r="C45" s="15" t="n">
        <x:f>COUNTIF('Gold_Standard'!D$2:D$101,B45)</x:f>
        <x:v>1</x:v>
      </x:c>
      <x:c r="D45" s="57" t="n">
        <x:f>C45/100</x:f>
        <x:v>0.01</x:v>
      </x:c>
    </x:row>
    <x:row r="46">
      <x:c r="A46" s="15" t="str">
        <x:v>target_zone</x:v>
      </x:c>
      <x:c r="B46" s="15" t="str">
        <x:v>南广场到地铁口这段</x:v>
      </x:c>
      <x:c r="C46" s="15" t="n">
        <x:f>COUNTIF('Gold_Standard'!D$2:D$101,B46)</x:f>
        <x:v>1</x:v>
      </x:c>
      <x:c r="D46" s="57" t="n">
        <x:f>C46/100</x:f>
        <x:v>0.01</x:v>
      </x:c>
    </x:row>
    <x:row r="47">
      <x:c r="A47" s="15" t="str">
        <x:v>target_zone</x:v>
      </x:c>
      <x:c r="B47" s="15" t="str">
        <x:v>南端冲坏的路基</x:v>
      </x:c>
      <x:c r="C47" s="15" t="n">
        <x:f>COUNTIF('Gold_Standard'!D$2:D$101,B47)</x:f>
        <x:v>1</x:v>
      </x:c>
      <x:c r="D47" s="57" t="n">
        <x:f>C47/100</x:f>
        <x:v>0.01</x:v>
      </x:c>
    </x:row>
    <x:row r="48">
      <x:c r="A48" s="15" t="str">
        <x:v>target_zone</x:v>
      </x:c>
      <x:c r="B48" s="15" t="str">
        <x:v>南边儿</x:v>
      </x:c>
      <x:c r="C48" s="15" t="n">
        <x:f>COUNTIF('Gold_Standard'!D$2:D$101,B48)</x:f>
        <x:v>1</x:v>
      </x:c>
      <x:c r="D48" s="57" t="n">
        <x:f>C48/100</x:f>
        <x:v>0.01</x:v>
      </x:c>
    </x:row>
    <x:row r="49">
      <x:c r="A49" s="15" t="str">
        <x:v>target_zone</x:v>
      </x:c>
      <x:c r="B49" s="15" t="str">
        <x:v>南边果园那条备用道</x:v>
      </x:c>
      <x:c r="C49" s="15" t="n">
        <x:f>COUNTIF('Gold_Standard'!D$2:D$101,B49)</x:f>
        <x:v>1</x:v>
      </x:c>
      <x:c r="D49" s="57" t="n">
        <x:f>C49/100</x:f>
        <x:v>0.01</x:v>
      </x:c>
    </x:row>
    <x:row r="50">
      <x:c r="A50" s="15" t="str">
        <x:v>target_zone</x:v>
      </x:c>
      <x:c r="B50" s="15" t="str">
        <x:v>卫生室操场</x:v>
      </x:c>
      <x:c r="C50" s="15" t="n">
        <x:f>COUNTIF('Gold_Standard'!D$2:D$101,B50)</x:f>
        <x:v>1</x:v>
      </x:c>
      <x:c r="D50" s="57" t="n">
        <x:f>C50/100</x:f>
        <x:v>0.01</x:v>
      </x:c>
    </x:row>
    <x:row r="51">
      <x:c r="A51" s="15" t="str">
        <x:v>target_zone</x:v>
      </x:c>
      <x:c r="B51" s="15" t="str">
        <x:v>厂房屋顶和窗口</x:v>
      </x:c>
      <x:c r="C51" s="15" t="n">
        <x:f>COUNTIF('Gold_Standard'!D$2:D$101,B51)</x:f>
        <x:v>1</x:v>
      </x:c>
      <x:c r="D51" s="57" t="n">
        <x:f>C51/100</x:f>
        <x:v>0.01</x:v>
      </x:c>
    </x:row>
    <x:row r="52">
      <x:c r="A52" s="15" t="str">
        <x:v>target_zone</x:v>
      </x:c>
      <x:c r="B52" s="15" t="str">
        <x:v>取水口</x:v>
      </x:c>
      <x:c r="C52" s="15" t="n">
        <x:f>COUNTIF('Gold_Standard'!D$2:D$101,B52)</x:f>
        <x:v>1</x:v>
      </x:c>
      <x:c r="D52" s="57" t="n">
        <x:f>C52/100</x:f>
        <x:v>0.01</x:v>
      </x:c>
    </x:row>
    <x:row r="53">
      <x:c r="A53" s="15" t="str">
        <x:v>target_zone</x:v>
      </x:c>
      <x:c r="B53" s="15" t="str">
        <x:v>台风后那栋高层西南立面</x:v>
      </x:c>
      <x:c r="C53" s="15" t="n">
        <x:f>COUNTIF('Gold_Standard'!D$2:D$101,B53)</x:f>
        <x:v>1</x:v>
      </x:c>
      <x:c r="D53" s="57" t="n">
        <x:f>C53/100</x:f>
        <x:v>0.01</x:v>
      </x:c>
    </x:row>
    <x:row r="54">
      <x:c r="A54" s="15" t="str">
        <x:v>target_zone</x:v>
      </x:c>
      <x:c r="B54" s="15" t="str">
        <x:v>商业街那块广告牌</x:v>
      </x:c>
      <x:c r="C54" s="15" t="n">
        <x:f>COUNTIF('Gold_Standard'!D$2:D$101,B54)</x:f>
        <x:v>1</x:v>
      </x:c>
      <x:c r="D54" s="57" t="n">
        <x:f>C54/100</x:f>
        <x:v>0.01</x:v>
      </x:c>
    </x:row>
    <x:row r="55">
      <x:c r="A55" s="15" t="str">
        <x:v>target_zone</x:v>
      </x:c>
      <x:c r="B55" s="15" t="str">
        <x:v>地下车库入口上空</x:v>
      </x:c>
      <x:c r="C55" s="15" t="n">
        <x:f>COUNTIF('Gold_Standard'!D$2:D$101,B55)</x:f>
        <x:v>1</x:v>
      </x:c>
      <x:c r="D55" s="57" t="n">
        <x:f>C55/100</x:f>
        <x:v>0.01</x:v>
      </x:c>
    </x:row>
    <x:row r="56">
      <x:c r="A56" s="15" t="str">
        <x:v>target_zone</x:v>
      </x:c>
      <x:c r="B56" s="15" t="str">
        <x:v>塌楼顶层</x:v>
      </x:c>
      <x:c r="C56" s="15" t="n">
        <x:f>COUNTIF('Gold_Standard'!D$2:D$101,B56)</x:f>
        <x:v>1</x:v>
      </x:c>
      <x:c r="D56" s="57" t="n">
        <x:f>C56/100</x:f>
        <x:v>0.01</x:v>
      </x:c>
    </x:row>
    <x:row r="57">
      <x:c r="A57" s="15" t="str">
        <x:v>target_zone</x:v>
      </x:c>
      <x:c r="B57" s="15" t="str">
        <x:v>夜间应急航线</x:v>
      </x:c>
      <x:c r="C57" s="15" t="n">
        <x:f>COUNTIF('Gold_Standard'!D$2:D$101,B57)</x:f>
        <x:v>1</x:v>
      </x:c>
      <x:c r="D57" s="57" t="n">
        <x:f>C57/100</x:f>
        <x:v>0.01</x:v>
      </x:c>
    </x:row>
    <x:row r="58">
      <x:c r="A58" s="15" t="str">
        <x:v>target_zone</x:v>
      </x:c>
      <x:c r="B58" s="15" t="str">
        <x:v>大桥中段梁底和支座</x:v>
      </x:c>
      <x:c r="C58" s="15" t="n">
        <x:f>COUNTIF('Gold_Standard'!D$2:D$101,B58)</x:f>
        <x:v>1</x:v>
      </x:c>
      <x:c r="D58" s="57" t="n">
        <x:f>C58/100</x:f>
        <x:v>0.01</x:v>
      </x:c>
    </x:row>
    <x:row r="59">
      <x:c r="A59" s="15" t="str">
        <x:v>target_zone</x:v>
      </x:c>
      <x:c r="B59" s="15" t="str">
        <x:v>学校安置点</x:v>
      </x:c>
      <x:c r="C59" s="15" t="n">
        <x:f>COUNTIF('Gold_Standard'!D$2:D$101,B59)</x:f>
        <x:v>1</x:v>
      </x:c>
      <x:c r="D59" s="57" t="n">
        <x:f>C59/100</x:f>
        <x:v>0.01</x:v>
      </x:c>
    </x:row>
    <x:row r="60">
      <x:c r="A60" s="15" t="str">
        <x:v>target_zone</x:v>
      </x:c>
      <x:c r="B60" s="15" t="str">
        <x:v>对岸山腰</x:v>
      </x:c>
      <x:c r="C60" s="15" t="n">
        <x:f>COUNTIF('Gold_Standard'!D$2:D$101,B60)</x:f>
        <x:v>1</x:v>
      </x:c>
      <x:c r="D60" s="57" t="n">
        <x:f>C60/100</x:f>
        <x:v>0.01</x:v>
      </x:c>
    </x:row>
    <x:row r="61">
      <x:c r="A61" s="15" t="str">
        <x:v>target_zone</x:v>
      </x:c>
      <x:c r="B61" s="15" t="str">
        <x:v>屋顶</x:v>
      </x:c>
      <x:c r="C61" s="15" t="n">
        <x:f>COUNTIF('Gold_Standard'!D$2:D$101,B61)</x:f>
        <x:v>1</x:v>
      </x:c>
      <x:c r="D61" s="57" t="n">
        <x:f>C61/100</x:f>
        <x:v>0.01</x:v>
      </x:c>
    </x:row>
    <x:row r="62">
      <x:c r="A62" s="15" t="str">
        <x:v>target_zone</x:v>
      </x:c>
      <x:c r="B62" s="15" t="str">
        <x:v>屋顶钢架和东立面</x:v>
      </x:c>
      <x:c r="C62" s="15" t="n">
        <x:f>COUNTIF('Gold_Standard'!D$2:D$101,B62)</x:f>
        <x:v>1</x:v>
      </x:c>
      <x:c r="D62" s="57" t="n">
        <x:f>C62/100</x:f>
        <x:v>0.01</x:v>
      </x:c>
    </x:row>
    <x:row r="63">
      <x:c r="A63" s="15" t="str">
        <x:v>target_zone</x:v>
      </x:c>
      <x:c r="B63" s="15" t="str">
        <x:v>山区医疗点</x:v>
      </x:c>
      <x:c r="C63" s="15" t="n">
        <x:f>COUNTIF('Gold_Standard'!D$2:D$101,B63)</x:f>
        <x:v>1</x:v>
      </x:c>
      <x:c r="D63" s="57" t="n">
        <x:f>C63/100</x:f>
        <x:v>0.01</x:v>
      </x:c>
    </x:row>
    <x:row r="64">
      <x:c r="A64" s="15" t="str">
        <x:v>target_zone</x:v>
      </x:c>
      <x:c r="B64" s="15" t="str">
        <x:v>山腰指挥点上空</x:v>
      </x:c>
      <x:c r="C64" s="15" t="n">
        <x:f>COUNTIF('Gold_Standard'!D$2:D$101,B64)</x:f>
        <x:v>1</x:v>
      </x:c>
      <x:c r="D64" s="57" t="n">
        <x:f>C64/100</x:f>
        <x:v>0.01</x:v>
      </x:c>
    </x:row>
    <x:row r="65">
      <x:c r="A65" s="15" t="str">
        <x:v>target_zone</x:v>
      </x:c>
      <x:c r="B65" s="15" t="str">
        <x:v>山顶台站院里空地</x:v>
      </x:c>
      <x:c r="C65" s="15" t="n">
        <x:f>COUNTIF('Gold_Standard'!D$2:D$101,B65)</x:f>
        <x:v>1</x:v>
      </x:c>
      <x:c r="D65" s="57" t="n">
        <x:f>C65/100</x:f>
        <x:v>0.01</x:v>
      </x:c>
    </x:row>
    <x:row r="66">
      <x:c r="A66" s="15" t="str">
        <x:v>target_zone</x:v>
      </x:c>
      <x:c r="B66" s="15" t="str">
        <x:v>峡谷</x:v>
      </x:c>
      <x:c r="C66" s="15" t="n">
        <x:f>COUNTIF('Gold_Standard'!D$2:D$101,B66)</x:f>
        <x:v>1</x:v>
      </x:c>
      <x:c r="D66" s="57" t="n">
        <x:f>C66/100</x:f>
        <x:v>0.01</x:v>
      </x:c>
    </x:row>
    <x:row r="67">
      <x:c r="A67" s="15" t="str">
        <x:v>target_zone</x:v>
      </x:c>
      <x:c r="B67" s="15" t="str">
        <x:v>峡谷正上方偏北位置</x:v>
      </x:c>
      <x:c r="C67" s="15" t="n">
        <x:f>COUNTIF('Gold_Standard'!D$2:D$101,B67)</x:f>
        <x:v>1</x:v>
      </x:c>
      <x:c r="D67" s="57" t="n">
        <x:f>C67/100</x:f>
        <x:v>0.01</x:v>
      </x:c>
    </x:row>
    <x:row r="68">
      <x:c r="A68" s="15" t="str">
        <x:v>target_zone</x:v>
      </x:c>
      <x:c r="B68" s="15" t="str">
        <x:v>广播哑了那个分区</x:v>
      </x:c>
      <x:c r="C68" s="15" t="n">
        <x:f>COUNTIF('Gold_Standard'!D$2:D$101,B68)</x:f>
        <x:v>1</x:v>
      </x:c>
      <x:c r="D68" s="57" t="n">
        <x:f>C68/100</x:f>
        <x:v>0.01</x:v>
      </x:c>
    </x:row>
    <x:row r="69">
      <x:c r="A69" s="15" t="str">
        <x:v>target_zone</x:v>
      </x:c>
      <x:c r="B69" s="15" t="str">
        <x:v>弯道下方林坡</x:v>
      </x:c>
      <x:c r="C69" s="15" t="n">
        <x:f>COUNTIF('Gold_Standard'!D$2:D$101,B69)</x:f>
        <x:v>1</x:v>
      </x:c>
      <x:c r="D69" s="57" t="n">
        <x:f>C69/100</x:f>
        <x:v>0.01</x:v>
      </x:c>
    </x:row>
    <x:row r="70">
      <x:c r="A70" s="15" t="str">
        <x:v>target_zone</x:v>
      </x:c>
      <x:c r="B70" s="15" t="str">
        <x:v>手术点</x:v>
      </x:c>
      <x:c r="C70" s="15" t="n">
        <x:f>COUNTIF('Gold_Standard'!D$2:D$101,B70)</x:f>
        <x:v>1</x:v>
      </x:c>
      <x:c r="D70" s="57" t="n">
        <x:f>C70/100</x:f>
        <x:v>0.01</x:v>
      </x:c>
    </x:row>
    <x:row r="71">
      <x:c r="A71" s="15" t="str">
        <x:v>target_zone</x:v>
      </x:c>
      <x:c r="B71" s="15" t="str">
        <x:v>报警点那片坡</x:v>
      </x:c>
      <x:c r="C71" s="15" t="n">
        <x:f>COUNTIF('Gold_Standard'!D$2:D$101,B71)</x:f>
        <x:v>1</x:v>
      </x:c>
      <x:c r="D71" s="57" t="n">
        <x:f>C71/100</x:f>
        <x:v>0.01</x:v>
      </x:c>
    </x:row>
    <x:row r="72">
      <x:c r="A72" s="15" t="str">
        <x:v>target_zone</x:v>
      </x:c>
      <x:c r="B72" s="15" t="str">
        <x:v>指挥所新址和东线队伍之间那个盲区</x:v>
      </x:c>
      <x:c r="C72" s="15" t="n">
        <x:f>COUNTIF('Gold_Standard'!D$2:D$101,B72)</x:f>
        <x:v>1</x:v>
      </x:c>
      <x:c r="D72" s="57" t="n">
        <x:f>C72/100</x:f>
        <x:v>0.01</x:v>
      </x:c>
    </x:row>
    <x:row r="73">
      <x:c r="A73" s="15" t="str">
        <x:v>target_zone</x:v>
      </x:c>
      <x:c r="B73" s="15" t="str">
        <x:v>救护车通道</x:v>
      </x:c>
      <x:c r="C73" s="15" t="n">
        <x:f>COUNTIF('Gold_Standard'!D$2:D$101,B73)</x:f>
        <x:v>1</x:v>
      </x:c>
      <x:c r="D73" s="57" t="n">
        <x:f>C73/100</x:f>
        <x:v>0.01</x:v>
      </x:c>
    </x:row>
    <x:row r="74">
      <x:c r="A74" s="15" t="str">
        <x:v>target_zone</x:v>
      </x:c>
      <x:c r="B74" s="15" t="str">
        <x:v>救援点</x:v>
      </x:c>
      <x:c r="C74" s="15" t="n">
        <x:f>COUNTIF('Gold_Standard'!D$2:D$101,B74)</x:f>
        <x:v>1</x:v>
      </x:c>
      <x:c r="D74" s="57" t="n">
        <x:f>C74/100</x:f>
        <x:v>0.01</x:v>
      </x:c>
    </x:row>
    <x:row r="75">
      <x:c r="A75" s="15" t="str">
        <x:v>target_zone</x:v>
      </x:c>
      <x:c r="B75" s="15" t="str">
        <x:v>村委会取暖点</x:v>
      </x:c>
      <x:c r="C75" s="15" t="n">
        <x:f>COUNTIF('Gold_Standard'!D$2:D$101,B75)</x:f>
        <x:v>1</x:v>
      </x:c>
      <x:c r="D75" s="57" t="n">
        <x:f>C75/100</x:f>
        <x:v>0.01</x:v>
      </x:c>
    </x:row>
    <x:row r="76">
      <x:c r="A76" s="15" t="str">
        <x:v>target_zone</x:v>
      </x:c>
      <x:c r="B76" s="15" t="str">
        <x:v>松林北缘复燃点</x:v>
      </x:c>
      <x:c r="C76" s="15" t="n">
        <x:f>COUNTIF('Gold_Standard'!D$2:D$101,B76)</x:f>
        <x:v>1</x:v>
      </x:c>
      <x:c r="D76" s="57" t="n">
        <x:f>C76/100</x:f>
        <x:v>0.01</x:v>
      </x:c>
    </x:row>
    <x:row r="77">
      <x:c r="A77" s="15" t="str">
        <x:v>target_zone</x:v>
      </x:c>
      <x:c r="B77" s="15" t="str">
        <x:v>林场工棚</x:v>
      </x:c>
      <x:c r="C77" s="15" t="n">
        <x:f>COUNTIF('Gold_Standard'!D$2:D$101,B77)</x:f>
        <x:v>1</x:v>
      </x:c>
      <x:c r="D77" s="57" t="n">
        <x:f>C77/100</x:f>
        <x:v>0.01</x:v>
      </x:c>
    </x:row>
    <x:row r="78">
      <x:c r="A78" s="15" t="str">
        <x:v>target_zone</x:v>
      </x:c>
      <x:c r="B78" s="15" t="str">
        <x:v>果园火线中段</x:v>
      </x:c>
      <x:c r="C78" s="15" t="n">
        <x:f>COUNTIF('Gold_Standard'!D$2:D$101,B78)</x:f>
        <x:v>1</x:v>
      </x:c>
      <x:c r="D78" s="57" t="n">
        <x:f>C78/100</x:f>
        <x:v>0.01</x:v>
      </x:c>
    </x:row>
    <x:row r="79">
      <x:c r="A79" s="15" t="str">
        <x:v>target_zone</x:v>
      </x:c>
      <x:c r="B79" s="15" t="str">
        <x:v>桥中段上空</x:v>
      </x:c>
      <x:c r="C79" s="15" t="n">
        <x:f>COUNTIF('Gold_Standard'!D$2:D$101,B79)</x:f>
        <x:v>1</x:v>
      </x:c>
      <x:c r="D79" s="57" t="n">
        <x:f>C79/100</x:f>
        <x:v>0.01</x:v>
      </x:c>
    </x:row>
    <x:row r="80">
      <x:c r="A80" s="15" t="str">
        <x:v>target_zone</x:v>
      </x:c>
      <x:c r="B80" s="15" t="str">
        <x:v>没确认那几户</x:v>
      </x:c>
      <x:c r="C80" s="15" t="n">
        <x:f>COUNTIF('Gold_Standard'!D$2:D$101,B80)</x:f>
        <x:v>1</x:v>
      </x:c>
      <x:c r="D80" s="57" t="n">
        <x:f>C80/100</x:f>
        <x:v>0.01</x:v>
      </x:c>
    </x:row>
    <x:row r="81">
      <x:c r="A81" s="15" t="str">
        <x:v>target_zone</x:v>
      </x:c>
      <x:c r="B81" s="15" t="str">
        <x:v>河对岸体育场</x:v>
      </x:c>
      <x:c r="C81" s="15" t="n">
        <x:f>COUNTIF('Gold_Standard'!D$2:D$101,B81)</x:f>
        <x:v>1</x:v>
      </x:c>
      <x:c r="D81" s="57" t="n">
        <x:f>C81/100</x:f>
        <x:v>0.01</x:v>
      </x:c>
    </x:row>
    <x:row r="82">
      <x:c r="A82" s="15" t="str">
        <x:v>target_zone</x:v>
      </x:c>
      <x:c r="B82" s="15" t="str">
        <x:v>河滨公园南段那两处光源</x:v>
      </x:c>
      <x:c r="C82" s="15" t="n">
        <x:f>COUNTIF('Gold_Standard'!D$2:D$101,B82)</x:f>
        <x:v>1</x:v>
      </x:c>
      <x:c r="D82" s="57" t="n">
        <x:f>C82/100</x:f>
        <x:v>0.01</x:v>
      </x:c>
    </x:row>
    <x:row r="83">
      <x:c r="A83" s="15" t="str">
        <x:v>target_zone</x:v>
      </x:c>
      <x:c r="B83" s="15" t="str">
        <x:v>河谷工地</x:v>
      </x:c>
      <x:c r="C83" s="15" t="n">
        <x:f>COUNTIF('Gold_Standard'!D$2:D$101,B83)</x:f>
        <x:v>1</x:v>
      </x:c>
      <x:c r="D83" s="57" t="n">
        <x:f>C83/100</x:f>
        <x:v>0.01</x:v>
      </x:c>
    </x:row>
    <x:row r="84">
      <x:c r="A84" s="15" t="str">
        <x:v>target_zone</x:v>
      </x:c>
      <x:c r="B84" s="15" t="str">
        <x:v>河道上空制高点</x:v>
      </x:c>
      <x:c r="C84" s="15" t="n">
        <x:f>COUNTIF('Gold_Standard'!D$2:D$101,B84)</x:f>
        <x:v>1</x:v>
      </x:c>
      <x:c r="D84" s="57" t="n">
        <x:f>C84/100</x:f>
        <x:v>0.01</x:v>
      </x:c>
    </x:row>
    <x:row r="85">
      <x:c r="A85" s="15" t="str">
        <x:v>target_zone</x:v>
      </x:c>
      <x:c r="B85" s="15" t="str">
        <x:v>洞口和二号竖井口</x:v>
      </x:c>
      <x:c r="C85" s="15" t="n">
        <x:f>COUNTIF('Gold_Standard'!D$2:D$101,B85)</x:f>
        <x:v>1</x:v>
      </x:c>
      <x:c r="D85" s="57" t="n">
        <x:f>C85/100</x:f>
        <x:v>0.01</x:v>
      </x:c>
    </x:row>
    <x:row r="86">
      <x:c r="A86" s="15" t="str">
        <x:v>target_zone</x:v>
      </x:c>
      <x:c r="B86" s="15" t="str">
        <x:v>消毒间</x:v>
      </x:c>
      <x:c r="C86" s="15" t="n">
        <x:f>COUNTIF('Gold_Standard'!D$2:D$101,B86)</x:f>
        <x:v>1</x:v>
      </x:c>
      <x:c r="D86" s="57" t="n">
        <x:f>C86/100</x:f>
        <x:v>0.01</x:v>
      </x:c>
    </x:row>
    <x:row r="87">
      <x:c r="A87" s="15" t="str">
        <x:v>target_zone</x:v>
      </x:c>
      <x:c r="B87" s="15" t="str">
        <x:v>漂那条船</x:v>
      </x:c>
      <x:c r="C87" s="15" t="n">
        <x:f>COUNTIF('Gold_Standard'!D$2:D$101,B87)</x:f>
        <x:v>1</x:v>
      </x:c>
      <x:c r="D87" s="57" t="n">
        <x:f>C87/100</x:f>
        <x:v>0.01</x:v>
      </x:c>
    </x:row>
    <x:row r="88">
      <x:c r="A88" s="15" t="str">
        <x:v>target_zone</x:v>
      </x:c>
      <x:c r="B88" s="15" t="str">
        <x:v>石门峰西北林线</x:v>
      </x:c>
      <x:c r="C88" s="15" t="n">
        <x:f>COUNTIF('Gold_Standard'!D$2:D$101,B88)</x:f>
        <x:v>1</x:v>
      </x:c>
      <x:c r="D88" s="57" t="n">
        <x:f>C88/100</x:f>
        <x:v>0.01</x:v>
      </x:c>
    </x:row>
    <x:row r="89">
      <x:c r="A89" s="15" t="str">
        <x:v>target_zone</x:v>
      </x:c>
      <x:c r="B89" s="15" t="str">
        <x:v>礼堂前空场</x:v>
      </x:c>
      <x:c r="C89" s="15" t="n">
        <x:f>COUNTIF('Gold_Standard'!D$2:D$101,B89)</x:f>
        <x:v>1</x:v>
      </x:c>
      <x:c r="D89" s="57" t="n">
        <x:f>C89/100</x:f>
        <x:v>0.01</x:v>
      </x:c>
    </x:row>
    <x:row r="90">
      <x:c r="A90" s="15" t="str">
        <x:v>target_zone</x:v>
      </x:c>
      <x:c r="B90" s="15" t="str">
        <x:v>社区广场</x:v>
      </x:c>
      <x:c r="C90" s="15" t="n">
        <x:f>COUNTIF('Gold_Standard'!D$2:D$101,B90)</x:f>
        <x:v>1</x:v>
      </x:c>
      <x:c r="D90" s="57" t="n">
        <x:f>C90/100</x:f>
        <x:v>0.01</x:v>
      </x:c>
    </x:row>
    <x:row r="91">
      <x:c r="A91" s="15" t="str">
        <x:v>target_zone</x:v>
      </x:c>
      <x:c r="B91" s="15" t="str">
        <x:v>管廊出入口正上方</x:v>
      </x:c>
      <x:c r="C91" s="15" t="n">
        <x:f>COUNTIF('Gold_Standard'!D$2:D$101,B91)</x:f>
        <x:v>1</x:v>
      </x:c>
      <x:c r="D91" s="57" t="n">
        <x:f>C91/100</x:f>
        <x:v>0.01</x:v>
      </x:c>
    </x:row>
    <x:row r="92">
      <x:c r="A92" s="15" t="str">
        <x:v>target_zone</x:v>
      </x:c>
      <x:c r="B92" s="15" t="str">
        <x:v>罐顶安全阀</x:v>
      </x:c>
      <x:c r="C92" s="15" t="n">
        <x:f>COUNTIF('Gold_Standard'!D$2:D$101,B92)</x:f>
        <x:v>1</x:v>
      </x:c>
      <x:c r="D92" s="57" t="n">
        <x:f>C92/100</x:f>
        <x:v>0.01</x:v>
      </x:c>
    </x:row>
    <x:row r="93">
      <x:c r="A93" s="15" t="str">
        <x:v>target_zone</x:v>
      </x:c>
      <x:c r="B93" s="15" t="str">
        <x:v>芦苇区暗火</x:v>
      </x:c>
      <x:c r="C93" s="15" t="n">
        <x:f>COUNTIF('Gold_Standard'!D$2:D$101,B93)</x:f>
        <x:v>1</x:v>
      </x:c>
      <x:c r="D93" s="57" t="n">
        <x:f>C93/100</x:f>
        <x:v>0.01</x:v>
      </x:c>
    </x:row>
    <x:row r="94">
      <x:c r="A94" s="15" t="str">
        <x:v>target_zone</x:v>
      </x:c>
      <x:c r="B94" s="15" t="str">
        <x:v>草原南部两条烟带</x:v>
      </x:c>
      <x:c r="C94" s="15" t="n">
        <x:f>COUNTIF('Gold_Standard'!D$2:D$101,B94)</x:f>
        <x:v>1</x:v>
      </x:c>
      <x:c r="D94" s="57" t="n">
        <x:f>C94/100</x:f>
        <x:v>0.01</x:v>
      </x:c>
    </x:row>
    <x:row r="95">
      <x:c r="A95" s="15" t="str">
        <x:v>target_zone</x:v>
      </x:c>
      <x:c r="B95" s="15" t="str">
        <x:v>营地北门</x:v>
      </x:c>
      <x:c r="C95" s="15" t="n">
        <x:f>COUNTIF('Gold_Standard'!D$2:D$101,B95)</x:f>
        <x:v>1</x:v>
      </x:c>
      <x:c r="D95" s="57" t="n">
        <x:f>C95/100</x:f>
        <x:v>0.01</x:v>
      </x:c>
    </x:row>
    <x:row r="96">
      <x:c r="A96" s="15" t="str">
        <x:v>target_zone</x:v>
      </x:c>
      <x:c r="B96" s="15" t="str">
        <x:v>西坡热区</x:v>
      </x:c>
      <x:c r="C96" s="15" t="n">
        <x:f>COUNTIF('Gold_Standard'!D$2:D$101,B96)</x:f>
        <x:v>1</x:v>
      </x:c>
      <x:c r="D96" s="57" t="n">
        <x:f>C96/100</x:f>
        <x:v>0.01</x:v>
      </x:c>
    </x:row>
    <x:row r="97">
      <x:c r="A97" s="15" t="str">
        <x:v>target_zone</x:v>
      </x:c>
      <x:c r="B97" s="15" t="str">
        <x:v>西岸</x:v>
      </x:c>
      <x:c r="C97" s="15" t="n">
        <x:f>COUNTIF('Gold_Standard'!D$2:D$101,B97)</x:f>
        <x:v>1</x:v>
      </x:c>
      <x:c r="D97" s="57" t="n">
        <x:f>C97/100</x:f>
        <x:v>0.01</x:v>
      </x:c>
    </x:row>
    <x:row r="98">
      <x:c r="A98" s="15" t="str">
        <x:v>target_zone</x:v>
      </x:c>
      <x:c r="B98" s="15" t="str">
        <x:v>西港上空</x:v>
      </x:c>
      <x:c r="C98" s="15" t="n">
        <x:f>COUNTIF('Gold_Standard'!D$2:D$101,B98)</x:f>
        <x:v>1</x:v>
      </x:c>
      <x:c r="D98" s="57" t="n">
        <x:f>C98/100</x:f>
        <x:v>0.01</x:v>
      </x:c>
    </x:row>
    <x:row r="99">
      <x:c r="A99" s="15" t="str">
        <x:v>target_zone</x:v>
      </x:c>
      <x:c r="B99" s="15" t="str">
        <x:v>西门</x:v>
      </x:c>
      <x:c r="C99" s="15" t="n">
        <x:f>COUNTIF('Gold_Standard'!D$2:D$101,B99)</x:f>
        <x:v>1</x:v>
      </x:c>
      <x:c r="D99" s="57" t="n">
        <x:f>C99/100</x:f>
        <x:v>0.01</x:v>
      </x:c>
    </x:row>
    <x:row r="100">
      <x:c r="A100" s="15" t="str">
        <x:v>target_zone</x:v>
      </x:c>
      <x:c r="B100" s="15" t="str">
        <x:v>起火那车</x:v>
      </x:c>
      <x:c r="C100" s="15" t="n">
        <x:f>COUNTIF('Gold_Standard'!D$2:D$101,B100)</x:f>
        <x:v>1</x:v>
      </x:c>
      <x:c r="D100" s="57" t="n">
        <x:f>C100/100</x:f>
        <x:v>0.01</x:v>
      </x:c>
    </x:row>
    <x:row r="101">
      <x:c r="A101" s="15" t="str">
        <x:v>target_zone</x:v>
      </x:c>
      <x:c r="B101" s="15" t="str">
        <x:v>近岸水色异常区</x:v>
      </x:c>
      <x:c r="C101" s="15" t="n">
        <x:f>COUNTIF('Gold_Standard'!D$2:D$101,B101)</x:f>
        <x:v>1</x:v>
      </x:c>
      <x:c r="D101" s="57" t="n">
        <x:f>C101/100</x:f>
        <x:v>0.01</x:v>
      </x:c>
    </x:row>
    <x:row r="102">
      <x:c r="A102" s="15" t="str">
        <x:v>target_zone</x:v>
      </x:c>
      <x:c r="B102" s="15" t="str">
        <x:v>通信机房下风向</x:v>
      </x:c>
      <x:c r="C102" s="15" t="n">
        <x:f>COUNTIF('Gold_Standard'!D$2:D$101,B102)</x:f>
        <x:v>1</x:v>
      </x:c>
      <x:c r="D102" s="57" t="n">
        <x:f>C102/100</x:f>
        <x:v>0.01</x:v>
      </x:c>
    </x:row>
    <x:row r="103">
      <x:c r="A103" s="15" t="str">
        <x:v>target_zone</x:v>
      </x:c>
      <x:c r="B103" s="15" t="str">
        <x:v>道口那台工程车</x:v>
      </x:c>
      <x:c r="C103" s="15" t="n">
        <x:f>COUNTIF('Gold_Standard'!D$2:D$101,B103)</x:f>
        <x:v>1</x:v>
      </x:c>
      <x:c r="D103" s="57" t="n">
        <x:f>C103/100</x:f>
        <x:v>0.01</x:v>
      </x:c>
    </x:row>
    <x:row r="104">
      <x:c r="A104" s="15" t="str">
        <x:v>target_zone</x:v>
      </x:c>
      <x:c r="B104" s="15" t="str">
        <x:v>那个罐</x:v>
      </x:c>
      <x:c r="C104" s="15" t="n">
        <x:f>COUNTIF('Gold_Standard'!D$2:D$101,B104)</x:f>
        <x:v>1</x:v>
      </x:c>
      <x:c r="D104" s="57" t="n">
        <x:f>C104/100</x:f>
        <x:v>0.01</x:v>
      </x:c>
    </x:row>
    <x:row r="105">
      <x:c r="A105" s="15" t="str">
        <x:v>target_zone</x:v>
      </x:c>
      <x:c r="B105" s="15" t="str">
        <x:v>那台岸桥</x:v>
      </x:c>
      <x:c r="C105" s="15" t="n">
        <x:f>COUNTIF('Gold_Standard'!D$2:D$101,B105)</x:f>
        <x:v>1</x:v>
      </x:c>
      <x:c r="D105" s="57" t="n">
        <x:f>C105/100</x:f>
        <x:v>0.01</x:v>
      </x:c>
    </x:row>
    <x:row r="106">
      <x:c r="A106" s="15" t="str">
        <x:v>target_zone</x:v>
      </x:c>
      <x:c r="B106" s="15" t="str">
        <x:v>那条作业船</x:v>
      </x:c>
      <x:c r="C106" s="15" t="n">
        <x:f>COUNTIF('Gold_Standard'!D$2:D$101,B106)</x:f>
        <x:v>1</x:v>
      </x:c>
      <x:c r="D106" s="57" t="n">
        <x:f>C106/100</x:f>
        <x:v>0.01</x:v>
      </x:c>
    </x:row>
    <x:row r="107">
      <x:c r="A107" s="15" t="str">
        <x:v>target_zone</x:v>
      </x:c>
      <x:c r="B107" s="15" t="str">
        <x:v>那条裂缝</x:v>
      </x:c>
      <x:c r="C107" s="15" t="n">
        <x:f>COUNTIF('Gold_Standard'!D$2:D$101,B107)</x:f>
        <x:v>1</x:v>
      </x:c>
      <x:c r="D107" s="57" t="n">
        <x:f>C107/100</x:f>
        <x:v>0.01</x:v>
      </x:c>
    </x:row>
    <x:row r="108">
      <x:c r="A108" s="15" t="str">
        <x:v>target_zone</x:v>
      </x:c>
      <x:c r="B108" s="15" t="str">
        <x:v>那根排风口</x:v>
      </x:c>
      <x:c r="C108" s="15" t="n">
        <x:f>COUNTIF('Gold_Standard'!D$2:D$101,B108)</x:f>
        <x:v>1</x:v>
      </x:c>
      <x:c r="D108" s="57" t="n">
        <x:f>C108/100</x:f>
        <x:v>0.01</x:v>
      </x:c>
    </x:row>
    <x:row r="109">
      <x:c r="A109" s="15" t="str">
        <x:v>target_zone</x:v>
      </x:c>
      <x:c r="B109" s="15" t="str">
        <x:v>隧道北口</x:v>
      </x:c>
      <x:c r="C109" s="15" t="n">
        <x:f>COUNTIF('Gold_Standard'!D$2:D$101,B109)</x:f>
        <x:v>1</x:v>
      </x:c>
      <x:c r="D109" s="57" t="n">
        <x:f>C109/100</x:f>
        <x:v>0.01</x:v>
      </x:c>
    </x:row>
    <x:row r="110">
      <x:c r="A110" s="15" t="str">
        <x:v>target_zone</x:v>
      </x:c>
      <x:c r="B110" s="15" t="str">
        <x:v>高原哨所旗杆旁空地</x:v>
      </x:c>
      <x:c r="C110" s="15" t="n">
        <x:f>COUNTIF('Gold_Standard'!D$2:D$101,B110)</x:f>
        <x:v>1</x:v>
      </x:c>
      <x:c r="D110" s="57" t="n">
        <x:f>C110/100</x:f>
        <x:v>0.01</x:v>
      </x:c>
    </x:row>
    <x:row r="111">
      <x:c r="A111" s="15" t="str">
        <x:v>target_zone</x:v>
      </x:c>
      <x:c r="B111" s="15" t="str">
        <x:v>鹰嘴岭东侧山沟</x:v>
      </x:c>
      <x:c r="C111" s="15" t="n">
        <x:f>COUNTIF('Gold_Standard'!D$2:D$101,B111)</x:f>
        <x:v>1</x:v>
      </x:c>
      <x:c r="D111" s="57" t="n">
        <x:f>C111/100</x:f>
        <x:v>0.01</x:v>
      </x:c>
    </x:row>
    <x:row r="112">
      <x:c r="A112" s="15" t="str">
        <x:v>target_zone</x:v>
      </x:c>
      <x:c r="B112" s="15" t="str">
        <x:v>黑石沟南端</x:v>
      </x:c>
      <x:c r="C112" s="15" t="n">
        <x:f>COUNTIF('Gold_Standard'!D$2:D$101,B112)</x:f>
        <x:v>1</x:v>
      </x:c>
      <x:c r="D112" s="57" t="n">
        <x:f>C112/100</x:f>
        <x:v>0.01</x:v>
      </x:c>
    </x:row>
    <x:row r="113">
      <x:c r="A113" s="15" t="str">
        <x:v>priority</x:v>
      </x:c>
      <x:c r="B113" s="15" t="str">
        <x:v>Critical</x:v>
      </x:c>
      <x:c r="C113" s="15" t="n">
        <x:f>COUNTIF('Gold_Standard'!E$2:E$101,B113)</x:f>
        <x:v>39</x:v>
      </x:c>
      <x:c r="D113" s="57" t="n">
        <x:f>C113/100</x:f>
        <x:v>0.39</x:v>
      </x:c>
    </x:row>
    <x:row r="114">
      <x:c r="A114" s="15" t="str">
        <x:v>priority</x:v>
      </x:c>
      <x:c r="B114" s="15" t="str">
        <x:v>High</x:v>
      </x:c>
      <x:c r="C114" s="15" t="n">
        <x:f>COUNTIF('Gold_Standard'!E$2:E$101,B114)</x:f>
        <x:v>56</x:v>
      </x:c>
      <x:c r="D114" s="57" t="n">
        <x:f>C114/100</x:f>
        <x:v>0.56</x:v>
      </x:c>
    </x:row>
    <x:row r="115">
      <x:c r="A115" s="15" t="str">
        <x:v>priority</x:v>
      </x:c>
      <x:c r="B115" s="15" t="str">
        <x:v>Normal</x:v>
      </x:c>
      <x:c r="C115" s="15" t="n">
        <x:f>COUNTIF('Gold_Standard'!E$2:E$101,B115)</x:f>
        <x:v>5</x:v>
      </x:c>
      <x:c r="D115" s="57" t="n">
        <x:f>C115/100</x:f>
        <x:v>0.05</x:v>
      </x:c>
    </x:row>
    <x:row r="116">
      <x:c r="A116" s="15" t="str">
        <x:v>deadline_s_or_text</x:v>
      </x:c>
      <x:c r="B116" s="15" t="str">
        <x:v>unspecified</x:v>
      </x:c>
      <x:c r="C116" s="15" t="n">
        <x:f>COUNTIF('Gold_Standard'!F$2:F$101,B116)</x:f>
        <x:v>63</x:v>
      </x:c>
      <x:c r="D116" s="57" t="n">
        <x:f>C116/100</x:f>
        <x:v>0.63</x:v>
      </x:c>
    </x:row>
    <x:row r="117">
      <x:c r="A117" s="15" t="str">
        <x:v>deadline_s_or_text</x:v>
      </x:c>
      <x:c r="B117" s="15" t="str">
        <x:v>urgent_unspecified</x:v>
      </x:c>
      <x:c r="C117" s="15" t="n">
        <x:f>COUNTIF('Gold_Standard'!F$2:F$101,B117)</x:f>
        <x:v>37</x:v>
      </x:c>
      <x:c r="D117" s="57" t="n">
        <x:f>C117/100</x:f>
        <x:v>0.37</x:v>
      </x:c>
    </x:row>
    <x:row r="118">
      <x:c r="A118" s="15" t="str">
        <x:v>required_skill</x:v>
      </x:c>
      <x:c r="B118" s="15" t="str">
        <x:v>communication_relay</x:v>
      </x:c>
      <x:c r="C118" s="15" t="n">
        <x:f>COUNTIF('Gold_Standard'!G$2:G$101,B118)</x:f>
        <x:v>11</x:v>
      </x:c>
      <x:c r="D118" s="57" t="n">
        <x:f>C118/100</x:f>
        <x:v>0.11</x:v>
      </x:c>
    </x:row>
    <x:row r="119">
      <x:c r="A119" s="15" t="str">
        <x:v>required_skill</x:v>
      </x:c>
      <x:c r="B119" s="15" t="str">
        <x:v>hazmat_monitoring</x:v>
      </x:c>
      <x:c r="C119" s="15" t="n">
        <x:f>COUNTIF('Gold_Standard'!G$2:G$101,B119)</x:f>
        <x:v>4</x:v>
      </x:c>
      <x:c r="D119" s="57" t="n">
        <x:f>C119/100</x:f>
        <x:v>0.04</x:v>
      </x:c>
    </x:row>
    <x:row r="120">
      <x:c r="A120" s="15" t="str">
        <x:v>required_skill</x:v>
      </x:c>
      <x:c r="B120" s="15" t="str">
        <x:v>infrastructure_photo</x:v>
      </x:c>
      <x:c r="C120" s="15" t="n">
        <x:f>COUNTIF('Gold_Standard'!G$2:G$101,B120)</x:f>
        <x:v>13</x:v>
      </x:c>
      <x:c r="D120" s="57" t="n">
        <x:f>C120/100</x:f>
        <x:v>0.13</x:v>
      </x:c>
    </x:row>
    <x:row r="121">
      <x:c r="A121" s="15" t="str">
        <x:v>required_skill</x:v>
      </x:c>
      <x:c r="B121" s="15" t="str">
        <x:v>loudspeaker_guidance</x:v>
      </x:c>
      <x:c r="C121" s="15" t="n">
        <x:f>COUNTIF('Gold_Standard'!G$2:G$101,B121)</x:f>
        <x:v>12</x:v>
      </x:c>
      <x:c r="D121" s="57" t="n">
        <x:f>C121/100</x:f>
        <x:v>0.12</x:v>
      </x:c>
    </x:row>
    <x:row r="122">
      <x:c r="A122" s="15" t="str">
        <x:v>required_skill</x:v>
      </x:c>
      <x:c r="B122" s="15" t="str">
        <x:v>mapping</x:v>
      </x:c>
      <x:c r="C122" s="15" t="n">
        <x:f>COUNTIF('Gold_Standard'!G$2:G$101,B122)</x:f>
        <x:v>7</x:v>
      </x:c>
      <x:c r="D122" s="57" t="n">
        <x:f>C122/100</x:f>
        <x:v>0.07</x:v>
      </x:c>
    </x:row>
    <x:row r="123">
      <x:c r="A123" s="15" t="str">
        <x:v>required_skill</x:v>
      </x:c>
      <x:c r="B123" s="15" t="str">
        <x:v>medical_payload</x:v>
      </x:c>
      <x:c r="C123" s="15" t="n">
        <x:f>COUNTIF('Gold_Standard'!G$2:G$101,B123)</x:f>
        <x:v>9</x:v>
      </x:c>
      <x:c r="D123" s="57" t="n">
        <x:f>C123/100</x:f>
        <x:v>0.09</x:v>
      </x:c>
    </x:row>
    <x:row r="124">
      <x:c r="A124" s="15" t="str">
        <x:v>required_skill</x:v>
      </x:c>
      <x:c r="B124" s="15" t="str">
        <x:v>route_replan</x:v>
      </x:c>
      <x:c r="C124" s="15" t="n">
        <x:f>COUNTIF('Gold_Standard'!G$2:G$101,B124)</x:f>
        <x:v>8</x:v>
      </x:c>
      <x:c r="D124" s="57" t="n">
        <x:f>C124/100</x:f>
        <x:v>0.08</x:v>
      </x:c>
    </x:row>
    <x:row r="125">
      <x:c r="A125" s="15" t="str">
        <x:v>required_skill</x:v>
      </x:c>
      <x:c r="B125" s="15" t="str">
        <x:v>supply_payload</x:v>
      </x:c>
      <x:c r="C125" s="15" t="n">
        <x:f>COUNTIF('Gold_Standard'!G$2:G$101,B125)</x:f>
        <x:v>6</x:v>
      </x:c>
      <x:c r="D125" s="57" t="n">
        <x:f>C125/100</x:f>
        <x:v>0.06</x:v>
      </x:c>
    </x:row>
    <x:row r="126">
      <x:c r="A126" s="15" t="str">
        <x:v>required_skill</x:v>
      </x:c>
      <x:c r="B126" s="15" t="str">
        <x:v>thermal_recon</x:v>
      </x:c>
      <x:c r="C126" s="15" t="n">
        <x:f>COUNTIF('Gold_Standard'!G$2:G$101,B126)</x:f>
        <x:v>14</x:v>
      </x:c>
      <x:c r="D126" s="57" t="n">
        <x:f>C126/100</x:f>
        <x:v>0.14</x:v>
      </x:c>
    </x:row>
    <x:row r="127">
      <x:c r="A127" s="15" t="str">
        <x:v>required_skill</x:v>
      </x:c>
      <x:c r="B127" s="15" t="str">
        <x:v>traffic_monitoring</x:v>
      </x:c>
      <x:c r="C127" s="15" t="n">
        <x:f>COUNTIF('Gold_Standard'!G$2:G$101,B127)</x:f>
        <x:v>6</x:v>
      </x:c>
      <x:c r="D127" s="57" t="n">
        <x:f>C127/100</x:f>
        <x:v>0.06</x:v>
      </x:c>
    </x:row>
    <x:row r="128">
      <x:c r="A128" s="15" t="str">
        <x:v>required_skill</x:v>
      </x:c>
      <x:c r="B128" s="15" t="str">
        <x:v>unknown_or_other</x:v>
      </x:c>
      <x:c r="C128" s="15" t="n">
        <x:f>COUNTIF('Gold_Standard'!G$2:G$101,B128)</x:f>
        <x:v>10</x:v>
      </x:c>
      <x:c r="D128" s="57" t="n">
        <x:f>C128/100</x:f>
        <x:v>0.1</x:v>
      </x:c>
    </x:row>
    <x:row r="129">
      <x:c r="A129" s="15" t="str">
        <x:v>needs_human_approval</x:v>
      </x:c>
      <x:c r="B129" s="15" t="str">
        <x:v>No</x:v>
      </x:c>
      <x:c r="C129" s="15" t="n">
        <x:f>COUNTIF('Gold_Standard'!H$2:H$101,B129)</x:f>
        <x:v>91</x:v>
      </x:c>
      <x:c r="D129" s="57" t="n">
        <x:f>C129/100</x:f>
        <x:v>0.91</x:v>
      </x:c>
    </x:row>
    <x:row r="130">
      <x:c r="A130" s="15" t="str">
        <x:v>needs_human_approval</x:v>
      </x:c>
      <x:c r="B130" s="15" t="str">
        <x:v>Yes</x:v>
      </x:c>
      <x:c r="C130" s="15" t="n">
        <x:f>COUNTIF('Gold_Standard'!H$2:H$101,B130)</x:f>
        <x:v>9</x:v>
      </x:c>
      <x:c r="D130" s="57" t="n">
        <x:f>C130/100</x:f>
        <x:v>0.09</x:v>
      </x:c>
    </x:row>
    <x:row r="131">
      <x:c r="A131" s="15" t="str">
        <x:v>expected_failure</x:v>
      </x:c>
      <x:c r="B131" s="15" t="str">
        <x:v>HumanApprovalRequired</x:v>
      </x:c>
      <x:c r="C131" s="15" t="n">
        <x:f>COUNTIF('Gold_Standard'!I$2:I$101,B131)</x:f>
        <x:v>1</x:v>
      </x:c>
      <x:c r="D131" s="57" t="n">
        <x:f>C131/100</x:f>
        <x:v>0.01</x:v>
      </x:c>
    </x:row>
    <x:row r="132">
      <x:c r="A132" s="15" t="str">
        <x:v>expected_failure</x:v>
      </x:c>
      <x:c r="B132" s="15" t="str">
        <x:v>IncompleteConstraint</x:v>
      </x:c>
      <x:c r="C132" s="15" t="n">
        <x:f>COUNTIF('Gold_Standard'!I$2:I$101,B132)</x:f>
        <x:v>2</x:v>
      </x:c>
      <x:c r="D132" s="57" t="n">
        <x:f>C132/100</x:f>
        <x:v>0.02</x:v>
      </x:c>
    </x:row>
    <x:row r="133">
      <x:c r="A133" s="15" t="str">
        <x:v>expected_failure</x:v>
      </x:c>
      <x:c r="B133" s="15" t="str">
        <x:v>None</x:v>
      </x:c>
      <x:c r="C133" s="15" t="n">
        <x:f>COUNTIF('Gold_Standard'!I$2:I$101,B133)</x:f>
        <x:v>93</x:v>
      </x:c>
      <x:c r="D133" s="57" t="n">
        <x:f>C133/100</x:f>
        <x:v>0.93</x:v>
      </x:c>
    </x:row>
    <x:row r="134">
      <x:c r="A134" s="15" t="str">
        <x:v>expected_failure</x:v>
      </x:c>
      <x:c r="B134" s="15" t="str">
        <x:v>PolicyOrAirspaceConflict</x:v>
      </x:c>
      <x:c r="C134" s="15" t="n">
        <x:f>COUNTIF('Gold_Standard'!I$2:I$101,B134)</x:f>
        <x:v>3</x:v>
      </x:c>
      <x:c r="D134" s="57" t="n">
        <x:f>C134/100</x:f>
        <x:v>0.03</x:v>
      </x:c>
    </x:row>
    <x:row r="135">
      <x:c r="A135" s="16" t="str">
        <x:v>expected_failure</x:v>
      </x:c>
      <x:c r="B135" s="16" t="str">
        <x:v>ResourceUnavailable</x:v>
      </x:c>
      <x:c r="C135" s="16" t="n">
        <x:f>COUNTIF('Gold_Standard'!I$2:I$101,B135)</x:f>
        <x:v>1</x:v>
      </x:c>
      <x:c r="D135" s="58" t="n">
        <x:f>C135/100</x:f>
        <x:v>0.01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24" hidden="0" customWidth="1"/>
    <x:col min="7" max="7" width="22" hidden="0" customWidth="1"/>
    <x:col min="9" max="9" width="30" hidden="0" customWidth="1"/>
    <x:col min="10" max="10" width="20" hidden="0" customWidth="1"/>
  </x:cols>
  <x:sheetData>
    <x:row r="1">
      <x:c r="A1" s="25" t="str">
        <x:v>field</x:v>
      </x:c>
      <x:c r="B1" s="26" t="str">
        <x:v>n</x:v>
      </x:c>
      <x:c r="C1" s="26" t="str">
        <x:v>matches</x:v>
      </x:c>
      <x:c r="D1" s="26" t="str">
        <x:v>disagreements</x:v>
      </x:c>
      <x:c r="E1" s="26" t="str">
        <x:v>observed_agreement</x:v>
      </x:c>
      <x:c r="F1" s="26" t="str">
        <x:v>cohen_kappa</x:v>
      </x:c>
      <x:c r="G1" s="27" t="str">
        <x:v>interpretation</x:v>
      </x:c>
      <x:c r="I1" s="42" t="str">
        <x:v>summary_metric</x:v>
      </x:c>
      <x:c r="J1" s="44" t="str">
        <x:v>value</x:v>
      </x:c>
    </x:row>
    <x:row r="2">
      <x:c r="A2" s="14" t="str">
        <x:v>task_type</x:v>
      </x:c>
      <x:c r="B2" s="14" t="n">
        <x:v>100</x:v>
      </x:c>
      <x:c r="C2" s="14" t="n">
        <x:v>93</x:v>
      </x:c>
      <x:c r="D2" s="14" t="n">
        <x:v>7</x:v>
      </x:c>
      <x:c r="E2" s="59" t="n">
        <x:v>0.93</x:v>
      </x:c>
      <x:c r="F2" s="59" t="n">
        <x:v>0.921304</x:v>
      </x:c>
      <x:c r="G2" s="14" t="str">
        <x:v>near-perfect</x:v>
      </x:c>
      <x:c r="I2" s="14" t="str">
        <x:v>label_cells</x:v>
      </x:c>
      <x:c r="J2" s="14" t="n">
        <x:v>700</x:v>
      </x:c>
    </x:row>
    <x:row r="3">
      <x:c r="A3" s="15" t="str">
        <x:v>target_zone</x:v>
      </x:c>
      <x:c r="B3" s="15" t="n">
        <x:v>100</x:v>
      </x:c>
      <x:c r="C3" s="15" t="n">
        <x:v>99</x:v>
      </x:c>
      <x:c r="D3" s="15" t="n">
        <x:v>1</x:v>
      </x:c>
      <x:c r="E3" s="60" t="n">
        <x:v>0.99</x:v>
      </x:c>
      <x:c r="F3" s="60" t="n">
        <x:v>0.989898</x:v>
      </x:c>
      <x:c r="G3" s="15" t="str">
        <x:v>near-perfect</x:v>
      </x:c>
      <x:c r="I3" s="15" t="str">
        <x:v>matching_cells</x:v>
      </x:c>
      <x:c r="J3" s="15" t="n">
        <x:v>682</x:v>
      </x:c>
    </x:row>
    <x:row r="4">
      <x:c r="A4" s="15" t="str">
        <x:v>priority</x:v>
      </x:c>
      <x:c r="B4" s="15" t="n">
        <x:v>100</x:v>
      </x:c>
      <x:c r="C4" s="15" t="n">
        <x:v>100</x:v>
      </x:c>
      <x:c r="D4" s="15" t="n">
        <x:v>0</x:v>
      </x:c>
      <x:c r="E4" s="60" t="n">
        <x:v>1</x:v>
      </x:c>
      <x:c r="F4" s="60" t="n">
        <x:v>1</x:v>
      </x:c>
      <x:c r="G4" s="15" t="str">
        <x:v>near-perfect</x:v>
      </x:c>
      <x:c r="I4" s="15" t="str">
        <x:v>micro_cell_agreement</x:v>
      </x:c>
      <x:c r="J4" s="60" t="n">
        <x:v>0.974286</x:v>
      </x:c>
    </x:row>
    <x:row r="5">
      <x:c r="A5" s="15" t="str">
        <x:v>deadline_s_or_text</x:v>
      </x:c>
      <x:c r="B5" s="15" t="n">
        <x:v>100</x:v>
      </x:c>
      <x:c r="C5" s="15" t="n">
        <x:v>100</x:v>
      </x:c>
      <x:c r="D5" s="15" t="n">
        <x:v>0</x:v>
      </x:c>
      <x:c r="E5" s="60" t="n">
        <x:v>1</x:v>
      </x:c>
      <x:c r="F5" s="60" t="n">
        <x:v>1</x:v>
      </x:c>
      <x:c r="G5" s="15" t="str">
        <x:v>near-perfect</x:v>
      </x:c>
      <x:c r="I5" s="16" t="str">
        <x:v>macro_mean_kappa</x:v>
      </x:c>
      <x:c r="J5" s="61" t="n">
        <x:v>0.953251</x:v>
      </x:c>
    </x:row>
    <x:row r="6">
      <x:c r="A6" s="15" t="str">
        <x:v>required_skill</x:v>
      </x:c>
      <x:c r="B6" s="15" t="n">
        <x:v>100</x:v>
      </x:c>
      <x:c r="C6" s="15" t="n">
        <x:v>92</x:v>
      </x:c>
      <x:c r="D6" s="15" t="n">
        <x:v>8</x:v>
      </x:c>
      <x:c r="E6" s="60" t="n">
        <x:v>0.92</x:v>
      </x:c>
      <x:c r="F6" s="60" t="n">
        <x:v>0.910923</x:v>
      </x:c>
      <x:c r="G6" s="15" t="str">
        <x:v>near-perfect</x:v>
      </x:c>
    </x:row>
    <x:row r="7">
      <x:c r="A7" s="15" t="str">
        <x:v>needs_human_approval</x:v>
      </x:c>
      <x:c r="B7" s="15" t="n">
        <x:v>100</x:v>
      </x:c>
      <x:c r="C7" s="15" t="n">
        <x:v>100</x:v>
      </x:c>
      <x:c r="D7" s="15" t="n">
        <x:v>0</x:v>
      </x:c>
      <x:c r="E7" s="60" t="n">
        <x:v>1</x:v>
      </x:c>
      <x:c r="F7" s="60" t="n">
        <x:v>1</x:v>
      </x:c>
      <x:c r="G7" s="15" t="str">
        <x:v>near-perfect</x:v>
      </x:c>
    </x:row>
    <x:row r="8">
      <x:c r="A8" s="16" t="str">
        <x:v>expected_failure</x:v>
      </x:c>
      <x:c r="B8" s="16" t="n">
        <x:v>100</x:v>
      </x:c>
      <x:c r="C8" s="16" t="n">
        <x:v>98</x:v>
      </x:c>
      <x:c r="D8" s="16" t="n">
        <x:v>2</x:v>
      </x:c>
      <x:c r="E8" s="61" t="n">
        <x:v>0.98</x:v>
      </x:c>
      <x:c r="F8" s="61" t="n">
        <x:v>0.850635</x:v>
      </x:c>
      <x:c r="G8" s="16" t="str">
        <x:v>near-perfect</x:v>
      </x:c>
    </x:row>
  </x:sheetData>
  <x:pageMargins left="0.7" right="0.7" top="0.75" bottom="0.75" header="0.3" footer="0.3"/>
</x:worksheet>
</file>